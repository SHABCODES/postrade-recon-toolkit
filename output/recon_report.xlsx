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eing" sheetId="2" state="visible" r:id="rId2"/>
    <sheet xmlns:r="http://schemas.openxmlformats.org/officeDocument/2006/relationships" name="All Breaks" sheetId="3" state="visible" r:id="rId3"/>
    <sheet xmlns:r="http://schemas.openxmlformats.org/officeDocument/2006/relationships" name="Trade Breaks" sheetId="4" state="visible" r:id="rId4"/>
    <sheet xmlns:r="http://schemas.openxmlformats.org/officeDocument/2006/relationships" name="Position Breaks" sheetId="5" state="visible" r:id="rId5"/>
    <sheet xmlns:r="http://schemas.openxmlformats.org/officeDocument/2006/relationships" name="Cash Breaks" sheetId="6" state="visible" r:id="rId6"/>
    <sheet xmlns:r="http://schemas.openxmlformats.org/officeDocument/2006/relationships" name="Margin Breaks" sheetId="7" state="visible" r:id="rId7"/>
    <sheet xmlns:r="http://schemas.openxmlformats.org/officeDocument/2006/relationships" name="Pricing Breaks" sheetId="8" state="visible" r:id="rId8"/>
    <sheet xmlns:r="http://schemas.openxmlformats.org/officeDocument/2006/relationships" name="Tolerances" sheetId="9" state="visible" r:id="rId9"/>
  </sheets>
  <definedNames>
    <definedName name="_xlnm._FilterDatabase" localSheetId="2" hidden="1">'All Breaks'!$A$1:$Q$62</definedName>
    <definedName name="_xlnm._FilterDatabase" localSheetId="3" hidden="1">'Trade Breaks'!$A$1:$Q$32</definedName>
    <definedName name="_xlnm._FilterDatabase" localSheetId="4" hidden="1">'Position Breaks'!$A$1:$Q$20</definedName>
    <definedName name="_xlnm._FilterDatabase" localSheetId="5" hidden="1">'Cash Breaks'!$A$1:$Q$4</definedName>
    <definedName name="_xlnm._FilterDatabase" localSheetId="6" hidden="1">'Margin Breaks'!$A$1:$Q$4</definedName>
    <definedName name="_xlnm._FilterDatabase" localSheetId="7" hidden="1">'Pricing Breaks'!$A$1:$Q$6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" fontId="4" fillId="0" borderId="1" pivotButton="0" quotePrefix="0" xfId="0"/>
    <xf numFmtId="4" fontId="4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CE4D6"/>
          <bgColor rgb="00FCE4D6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breaks by owner team and severity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'Summary'!$A$12:$A$15</f>
            </numRef>
          </cat>
          <val>
            <numRef>
              <f>'Summary'!$B$12:$B$15</f>
            </numRef>
          </val>
        </ser>
        <ser>
          <idx val="1"/>
          <order val="1"/>
          <tx>
            <strRef>
              <f>'Summary'!C11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'Summary'!$A$12:$A$15</f>
            </numRef>
          </cat>
          <val>
            <numRef>
              <f>'Summary'!$C$12:$C$15</f>
            </numRef>
          </val>
        </ser>
        <ser>
          <idx val="2"/>
          <order val="2"/>
          <tx>
            <strRef>
              <f>'Summary'!D11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'Summary'!$A$12:$A$15</f>
            </numRef>
          </cat>
          <val>
            <numRef>
              <f>'Summary'!$D$12:$D$15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14" customWidth="1" min="4" max="4"/>
    <col width="14" customWidth="1" min="5" max="5"/>
    <col width="26" customWidth="1" min="6" max="6"/>
  </cols>
  <sheetData>
    <row r="1">
      <c r="A1" s="1" t="inlineStr">
        <is>
          <t>Post-Trade Reconciliation Report</t>
        </is>
      </c>
    </row>
    <row r="2">
      <c r="A2" s="2" t="inlineStr">
        <is>
          <t>As-of business date 2026-10-07  |  all values USD  |  synthetic demo data</t>
        </is>
      </c>
    </row>
    <row r="4">
      <c r="A4" s="3" t="inlineStr">
        <is>
          <t>Headline</t>
        </is>
      </c>
      <c r="B4" s="3" t="inlineStr">
        <is>
          <t>Value</t>
        </is>
      </c>
    </row>
    <row r="5">
      <c r="A5" s="4" t="inlineStr">
        <is>
          <t>Total break lines</t>
        </is>
      </c>
      <c r="B5" s="5">
        <f>COUNTA('All Breaks'!$A$2:$A$62)</f>
        <v/>
      </c>
    </row>
    <row r="6">
      <c r="A6" s="4" t="inlineStr">
        <is>
          <t>Root-cause breaks (excl. knock-on position/cash)</t>
        </is>
      </c>
      <c r="B6" s="5">
        <f>COUNTIF('All Breaks'!$C$2:$C$62,"&lt;&gt;*DRIVEN*")-(ROWS('All Breaks'!$A$2:$A$62)-COUNTA('All Breaks'!$A$2:$A$62))</f>
        <v/>
      </c>
    </row>
    <row r="7">
      <c r="A7" s="4" t="inlineStr">
        <is>
          <t>High-severity root-cause breaks</t>
        </is>
      </c>
      <c r="B7" s="5">
        <f>COUNTIFS('All Breaks'!$O$2:$O$62,"HIGH",'All Breaks'!$C$2:$C$62,"&lt;&gt;*DRIVEN*")</f>
        <v/>
      </c>
    </row>
    <row r="8">
      <c r="A8" s="4" t="inlineStr">
        <is>
          <t>Root-cause breaks older than 5 business days</t>
        </is>
      </c>
      <c r="B8" s="5">
        <f>COUNTIFS('All Breaks'!$M$2:$M$62,"&gt;5",'All Breaks'!$C$2:$C$62,"&lt;&gt;*DRIVEN*")</f>
        <v/>
      </c>
    </row>
    <row r="9">
      <c r="A9" s="4" t="inlineStr">
        <is>
          <t>Notional at risk, root-cause only (USD)</t>
        </is>
      </c>
      <c r="B9" s="6">
        <f>SUMIFS('All Breaks'!$K$2:$K$62,'All Breaks'!$C$2:$C$62,"&lt;&gt;*DRIVEN*")</f>
        <v/>
      </c>
    </row>
    <row r="11">
      <c r="A11" s="3" t="inlineStr">
        <is>
          <t>Owner team</t>
        </is>
      </c>
      <c r="B11" s="3" t="inlineStr">
        <is>
          <t>HIGH</t>
        </is>
      </c>
      <c r="C11" s="3" t="inlineStr">
        <is>
          <t>MEDIUM</t>
        </is>
      </c>
      <c r="D11" s="3" t="inlineStr">
        <is>
          <t>LOW</t>
        </is>
      </c>
      <c r="E11" s="3" t="inlineStr">
        <is>
          <t>Total</t>
        </is>
      </c>
      <c r="F11" s="3" t="inlineStr">
        <is>
          <t>Root-cause notional (USD)</t>
        </is>
      </c>
    </row>
    <row r="12">
      <c r="A12" s="4" t="inlineStr">
        <is>
          <t>Trade Accounting &amp; Operation</t>
        </is>
      </c>
      <c r="B12" s="4">
        <f>COUNTIFS('All Breaks'!$D$2:$D$62,$A12,'All Breaks'!$O$2:$O$62,"HIGH")</f>
        <v/>
      </c>
      <c r="C12" s="4">
        <f>COUNTIFS('All Breaks'!$D$2:$D$62,$A12,'All Breaks'!$O$2:$O$62,"MEDIUM")</f>
        <v/>
      </c>
      <c r="D12" s="4">
        <f>COUNTIFS('All Breaks'!$D$2:$D$62,$A12,'All Breaks'!$O$2:$O$62,"LOW")</f>
        <v/>
      </c>
      <c r="E12" s="4">
        <f>SUM(B12:D12)</f>
        <v/>
      </c>
      <c r="F12" s="7">
        <f>SUMIFS('All Breaks'!$K$2:$K$62,'All Breaks'!$D$2:$D$62,$A12,'All Breaks'!$C$2:$C$62,"&lt;&gt;*DRIVEN*")</f>
        <v/>
      </c>
    </row>
    <row r="13">
      <c r="A13" s="4" t="inlineStr">
        <is>
          <t>Middle Office</t>
        </is>
      </c>
      <c r="B13" s="4">
        <f>COUNTIFS('All Breaks'!$D$2:$D$62,$A13,'All Breaks'!$O$2:$O$62,"HIGH")</f>
        <v/>
      </c>
      <c r="C13" s="4">
        <f>COUNTIFS('All Breaks'!$D$2:$D$62,$A13,'All Breaks'!$O$2:$O$62,"MEDIUM")</f>
        <v/>
      </c>
      <c r="D13" s="4">
        <f>COUNTIFS('All Breaks'!$D$2:$D$62,$A13,'All Breaks'!$O$2:$O$62,"LOW")</f>
        <v/>
      </c>
      <c r="E13" s="4">
        <f>SUM(B13:D13)</f>
        <v/>
      </c>
      <c r="F13" s="7">
        <f>SUMIFS('All Breaks'!$K$2:$K$62,'All Breaks'!$D$2:$D$62,$A13,'All Breaks'!$C$2:$C$62,"&lt;&gt;*DRIVEN*")</f>
        <v/>
      </c>
    </row>
    <row r="14">
      <c r="A14" s="4" t="inlineStr">
        <is>
          <t>Treasury</t>
        </is>
      </c>
      <c r="B14" s="4">
        <f>COUNTIFS('All Breaks'!$D$2:$D$62,$A14,'All Breaks'!$O$2:$O$62,"HIGH")</f>
        <v/>
      </c>
      <c r="C14" s="4">
        <f>COUNTIFS('All Breaks'!$D$2:$D$62,$A14,'All Breaks'!$O$2:$O$62,"MEDIUM")</f>
        <v/>
      </c>
      <c r="D14" s="4">
        <f>COUNTIFS('All Breaks'!$D$2:$D$62,$A14,'All Breaks'!$O$2:$O$62,"LOW")</f>
        <v/>
      </c>
      <c r="E14" s="4">
        <f>SUM(B14:D14)</f>
        <v/>
      </c>
      <c r="F14" s="7">
        <f>SUMIFS('All Breaks'!$K$2:$K$62,'All Breaks'!$D$2:$D$62,$A14,'All Breaks'!$C$2:$C$62,"&lt;&gt;*DRIVEN*")</f>
        <v/>
      </c>
    </row>
    <row r="15">
      <c r="A15" s="4" t="inlineStr">
        <is>
          <t>Pricing</t>
        </is>
      </c>
      <c r="B15" s="4">
        <f>COUNTIFS('All Breaks'!$D$2:$D$62,$A15,'All Breaks'!$O$2:$O$62,"HIGH")</f>
        <v/>
      </c>
      <c r="C15" s="4">
        <f>COUNTIFS('All Breaks'!$D$2:$D$62,$A15,'All Breaks'!$O$2:$O$62,"MEDIUM")</f>
        <v/>
      </c>
      <c r="D15" s="4">
        <f>COUNTIFS('All Breaks'!$D$2:$D$62,$A15,'All Breaks'!$O$2:$O$62,"LOW")</f>
        <v/>
      </c>
      <c r="E15" s="4">
        <f>SUM(B15:D15)</f>
        <v/>
      </c>
      <c r="F15" s="7">
        <f>SUMIFS('All Breaks'!$K$2:$K$62,'All Breaks'!$D$2:$D$62,$A15,'All Breaks'!$C$2:$C$62,"&lt;&gt;*DRIVEN*")</f>
        <v/>
      </c>
    </row>
    <row r="16">
      <c r="A16" s="8" t="inlineStr">
        <is>
          <t>Total</t>
        </is>
      </c>
      <c r="B16" s="9">
        <f>SUM(B12:B15)</f>
        <v/>
      </c>
      <c r="C16" s="9">
        <f>SUM(C12:C15)</f>
        <v/>
      </c>
      <c r="D16" s="9">
        <f>SUM(D12:D15)</f>
        <v/>
      </c>
      <c r="E16" s="9">
        <f>SUM(E12:E15)</f>
        <v/>
      </c>
      <c r="F16" s="6">
        <f>SUM(F12:F15)</f>
        <v/>
      </c>
    </row>
    <row r="19">
      <c r="A19" s="3" t="inlineStr">
        <is>
          <t>Reconciliation</t>
        </is>
      </c>
      <c r="B19" s="3" t="inlineStr">
        <is>
          <t>Items compared</t>
        </is>
      </c>
      <c r="C19" s="3" t="inlineStr">
        <is>
          <t>Items with breaks</t>
        </is>
      </c>
      <c r="D19" s="3" t="inlineStr">
        <is>
          <t>Items matched</t>
        </is>
      </c>
      <c r="E19" s="3" t="inlineStr">
        <is>
          <t>Match rate</t>
        </is>
      </c>
    </row>
    <row r="20">
      <c r="A20" s="4" t="inlineStr">
        <is>
          <t>Trade</t>
        </is>
      </c>
      <c r="B20" s="4" t="n">
        <v>304</v>
      </c>
      <c r="C20" s="4" t="n">
        <v>31</v>
      </c>
      <c r="D20" s="4" t="n">
        <v>273</v>
      </c>
      <c r="E20" s="10" t="n">
        <v>0.898</v>
      </c>
    </row>
    <row r="21">
      <c r="A21" s="4" t="inlineStr">
        <is>
          <t>Position</t>
        </is>
      </c>
      <c r="B21" s="4" t="n">
        <v>72</v>
      </c>
      <c r="C21" s="4" t="n">
        <v>19</v>
      </c>
      <c r="D21" s="4" t="n">
        <v>53</v>
      </c>
      <c r="E21" s="10" t="n">
        <v>0.7361</v>
      </c>
    </row>
    <row r="22">
      <c r="A22" s="4" t="inlineStr">
        <is>
          <t>Cash</t>
        </is>
      </c>
      <c r="B22" s="4" t="n">
        <v>3</v>
      </c>
      <c r="C22" s="4" t="n">
        <v>3</v>
      </c>
      <c r="D22" s="4" t="n">
        <v>0</v>
      </c>
      <c r="E22" s="10" t="n">
        <v>0</v>
      </c>
    </row>
    <row r="23">
      <c r="A23" s="4" t="inlineStr">
        <is>
          <t>Margin</t>
        </is>
      </c>
      <c r="B23" s="4" t="n">
        <v>11</v>
      </c>
      <c r="C23" s="4" t="n">
        <v>3</v>
      </c>
      <c r="D23" s="4" t="n">
        <v>8</v>
      </c>
      <c r="E23" s="10" t="n">
        <v>0.7272999999999999</v>
      </c>
    </row>
    <row r="24">
      <c r="A24" s="4" t="inlineStr">
        <is>
          <t>Pricing</t>
        </is>
      </c>
      <c r="B24" s="4" t="n">
        <v>24</v>
      </c>
      <c r="C24" s="4" t="n">
        <v>5</v>
      </c>
      <c r="D24" s="4" t="n">
        <v>19</v>
      </c>
      <c r="E24" s="10" t="n">
        <v>0.7917</v>
      </c>
    </row>
    <row r="27">
      <c r="A27" s="3" t="inlineStr">
        <is>
          <t>Break type</t>
        </is>
      </c>
      <c r="B27" s="3" t="inlineStr">
        <is>
          <t>Count</t>
        </is>
      </c>
      <c r="C27" s="3" t="inlineStr">
        <is>
          <t>Notional (USD)</t>
        </is>
      </c>
    </row>
    <row r="28">
      <c r="A28" s="4" t="inlineStr">
        <is>
          <t>CASH_BREAK_UNEXPLAINED_RESIDUAL</t>
        </is>
      </c>
      <c r="B28" s="4">
        <f>COUNTIF('All Breaks'!$C$2:$C$62,$A28)</f>
        <v/>
      </c>
      <c r="C28" s="7">
        <f>SUMIFS('All Breaks'!$K$2:$K$62,'All Breaks'!$C$2:$C$62,$A28)</f>
        <v/>
      </c>
    </row>
    <row r="29">
      <c r="A29" s="4" t="inlineStr">
        <is>
          <t>CASH_BREAK_UPSTREAM_DRIVEN</t>
        </is>
      </c>
      <c r="B29" s="4">
        <f>COUNTIF('All Breaks'!$C$2:$C$62,$A29)</f>
        <v/>
      </c>
      <c r="C29" s="7">
        <f>SUMIFS('All Breaks'!$K$2:$K$62,'All Breaks'!$C$2:$C$62,$A29)</f>
        <v/>
      </c>
    </row>
    <row r="30">
      <c r="A30" s="4" t="inlineStr">
        <is>
          <t>MARGIN_AMOUNT_MISMATCH</t>
        </is>
      </c>
      <c r="B30" s="4">
        <f>COUNTIF('All Breaks'!$C$2:$C$62,$A30)</f>
        <v/>
      </c>
      <c r="C30" s="7">
        <f>SUMIFS('All Breaks'!$K$2:$K$62,'All Breaks'!$C$2:$C$62,$A30)</f>
        <v/>
      </c>
    </row>
    <row r="31">
      <c r="A31" s="4" t="inlineStr">
        <is>
          <t>MARGIN_MISSING_IN_CUSTODIAN</t>
        </is>
      </c>
      <c r="B31" s="4">
        <f>COUNTIF('All Breaks'!$C$2:$C$62,$A31)</f>
        <v/>
      </c>
      <c r="C31" s="7">
        <f>SUMIFS('All Breaks'!$K$2:$K$62,'All Breaks'!$C$2:$C$62,$A31)</f>
        <v/>
      </c>
    </row>
    <row r="32">
      <c r="A32" s="4" t="inlineStr">
        <is>
          <t>MARGIN_MISSING_IN_INTERNAL</t>
        </is>
      </c>
      <c r="B32" s="4">
        <f>COUNTIF('All Breaks'!$C$2:$C$62,$A32)</f>
        <v/>
      </c>
      <c r="C32" s="7">
        <f>SUMIFS('All Breaks'!$K$2:$K$62,'All Breaks'!$C$2:$C$62,$A32)</f>
        <v/>
      </c>
    </row>
    <row r="33">
      <c r="A33" s="4" t="inlineStr">
        <is>
          <t>POSITION_BREAK_CORP_ACTION_SPLIT</t>
        </is>
      </c>
      <c r="B33" s="4">
        <f>COUNTIF('All Breaks'!$C$2:$C$62,$A33)</f>
        <v/>
      </c>
      <c r="C33" s="7">
        <f>SUMIFS('All Breaks'!$K$2:$K$62,'All Breaks'!$C$2:$C$62,$A33)</f>
        <v/>
      </c>
    </row>
    <row r="34">
      <c r="A34" s="4" t="inlineStr">
        <is>
          <t>POSITION_BREAK_TRADE_DRIVEN</t>
        </is>
      </c>
      <c r="B34" s="4">
        <f>COUNTIF('All Breaks'!$C$2:$C$62,$A34)</f>
        <v/>
      </c>
      <c r="C34" s="7">
        <f>SUMIFS('All Breaks'!$K$2:$K$62,'All Breaks'!$C$2:$C$62,$A34)</f>
        <v/>
      </c>
    </row>
    <row r="35">
      <c r="A35" s="4" t="inlineStr">
        <is>
          <t>PRICING_STALE</t>
        </is>
      </c>
      <c r="B35" s="4">
        <f>COUNTIF('All Breaks'!$C$2:$C$62,$A35)</f>
        <v/>
      </c>
      <c r="C35" s="7">
        <f>SUMIFS('All Breaks'!$K$2:$K$62,'All Breaks'!$C$2:$C$62,$A35)</f>
        <v/>
      </c>
    </row>
    <row r="36">
      <c r="A36" s="4" t="inlineStr">
        <is>
          <t>PRICING_VARIANCE</t>
        </is>
      </c>
      <c r="B36" s="4">
        <f>COUNTIF('All Breaks'!$C$2:$C$62,$A36)</f>
        <v/>
      </c>
      <c r="C36" s="7">
        <f>SUMIFS('All Breaks'!$K$2:$K$62,'All Breaks'!$C$2:$C$62,$A36)</f>
        <v/>
      </c>
    </row>
    <row r="37">
      <c r="A37" s="4" t="inlineStr">
        <is>
          <t>TRADE_MISSING_IN_CUSTODIAN</t>
        </is>
      </c>
      <c r="B37" s="4">
        <f>COUNTIF('All Breaks'!$C$2:$C$62,$A37)</f>
        <v/>
      </c>
      <c r="C37" s="7">
        <f>SUMIFS('All Breaks'!$K$2:$K$62,'All Breaks'!$C$2:$C$62,$A37)</f>
        <v/>
      </c>
    </row>
    <row r="38">
      <c r="A38" s="4" t="inlineStr">
        <is>
          <t>TRADE_MISSING_IN_INTERNAL</t>
        </is>
      </c>
      <c r="B38" s="4">
        <f>COUNTIF('All Breaks'!$C$2:$C$62,$A38)</f>
        <v/>
      </c>
      <c r="C38" s="7">
        <f>SUMIFS('All Breaks'!$K$2:$K$62,'All Breaks'!$C$2:$C$62,$A38)</f>
        <v/>
      </c>
    </row>
    <row r="39">
      <c r="A39" s="4" t="inlineStr">
        <is>
          <t>TRADE_PRICE_MISMATCH</t>
        </is>
      </c>
      <c r="B39" s="4">
        <f>COUNTIF('All Breaks'!$C$2:$C$62,$A39)</f>
        <v/>
      </c>
      <c r="C39" s="7">
        <f>SUMIFS('All Breaks'!$K$2:$K$62,'All Breaks'!$C$2:$C$62,$A39)</f>
        <v/>
      </c>
    </row>
    <row r="40">
      <c r="A40" s="4" t="inlineStr">
        <is>
          <t>TRADE_QTY_MISMATCH</t>
        </is>
      </c>
      <c r="B40" s="4">
        <f>COUNTIF('All Breaks'!$C$2:$C$62,$A40)</f>
        <v/>
      </c>
      <c r="C40" s="7">
        <f>SUMIFS('All Breaks'!$K$2:$K$62,'All Breaks'!$C$2:$C$62,$A40)</f>
        <v/>
      </c>
    </row>
    <row r="41">
      <c r="A41" s="4" t="inlineStr">
        <is>
          <t>TRADE_SETTLE_DATE_MISMATCH</t>
        </is>
      </c>
      <c r="B41" s="4">
        <f>COUNTIF('All Breaks'!$C$2:$C$62,$A41)</f>
        <v/>
      </c>
      <c r="C41" s="7">
        <f>SUMIFS('All Breaks'!$K$2:$K$62,'All Breaks'!$C$2:$C$62,$A41)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Ageing of open breaks (business days)</t>
        </is>
      </c>
    </row>
    <row r="2">
      <c r="A2" s="2" t="inlineStr">
        <is>
          <t>Counts update when 'All Breaks' is filtered or edited</t>
        </is>
      </c>
    </row>
    <row r="4">
      <c r="A4" s="3" t="inlineStr">
        <is>
          <t>Owner team</t>
        </is>
      </c>
      <c r="B4" s="3" t="inlineStr">
        <is>
          <t>0-1d</t>
        </is>
      </c>
      <c r="C4" s="3" t="inlineStr">
        <is>
          <t>2-5d</t>
        </is>
      </c>
      <c r="D4" s="3" t="inlineStr">
        <is>
          <t>6-10d</t>
        </is>
      </c>
      <c r="E4" s="3" t="inlineStr">
        <is>
          <t>11+d</t>
        </is>
      </c>
      <c r="F4" s="3" t="inlineStr">
        <is>
          <t>Total</t>
        </is>
      </c>
    </row>
    <row r="5">
      <c r="A5" s="4" t="inlineStr">
        <is>
          <t>Trade Accounting &amp; Operation</t>
        </is>
      </c>
      <c r="B5" s="4">
        <f>COUNTIFS('All Breaks'!$D$2:$D$62,$A5,'All Breaks'!$N$2:$N$62,"="&amp;B$4)</f>
        <v/>
      </c>
      <c r="C5" s="4">
        <f>COUNTIFS('All Breaks'!$D$2:$D$62,$A5,'All Breaks'!$N$2:$N$62,"="&amp;C$4)</f>
        <v/>
      </c>
      <c r="D5" s="4">
        <f>COUNTIFS('All Breaks'!$D$2:$D$62,$A5,'All Breaks'!$N$2:$N$62,"="&amp;D$4)</f>
        <v/>
      </c>
      <c r="E5" s="4">
        <f>COUNTIFS('All Breaks'!$D$2:$D$62,$A5,'All Breaks'!$N$2:$N$62,"="&amp;E$4)</f>
        <v/>
      </c>
      <c r="F5" s="4">
        <f>SUM(B5:E5)</f>
        <v/>
      </c>
    </row>
    <row r="6">
      <c r="A6" s="4" t="inlineStr">
        <is>
          <t>Middle Office</t>
        </is>
      </c>
      <c r="B6" s="4">
        <f>COUNTIFS('All Breaks'!$D$2:$D$62,$A6,'All Breaks'!$N$2:$N$62,"="&amp;B$4)</f>
        <v/>
      </c>
      <c r="C6" s="4">
        <f>COUNTIFS('All Breaks'!$D$2:$D$62,$A6,'All Breaks'!$N$2:$N$62,"="&amp;C$4)</f>
        <v/>
      </c>
      <c r="D6" s="4">
        <f>COUNTIFS('All Breaks'!$D$2:$D$62,$A6,'All Breaks'!$N$2:$N$62,"="&amp;D$4)</f>
        <v/>
      </c>
      <c r="E6" s="4">
        <f>COUNTIFS('All Breaks'!$D$2:$D$62,$A6,'All Breaks'!$N$2:$N$62,"="&amp;E$4)</f>
        <v/>
      </c>
      <c r="F6" s="4">
        <f>SUM(B6:E6)</f>
        <v/>
      </c>
    </row>
    <row r="7">
      <c r="A7" s="4" t="inlineStr">
        <is>
          <t>Treasury</t>
        </is>
      </c>
      <c r="B7" s="4">
        <f>COUNTIFS('All Breaks'!$D$2:$D$62,$A7,'All Breaks'!$N$2:$N$62,"="&amp;B$4)</f>
        <v/>
      </c>
      <c r="C7" s="4">
        <f>COUNTIFS('All Breaks'!$D$2:$D$62,$A7,'All Breaks'!$N$2:$N$62,"="&amp;C$4)</f>
        <v/>
      </c>
      <c r="D7" s="4">
        <f>COUNTIFS('All Breaks'!$D$2:$D$62,$A7,'All Breaks'!$N$2:$N$62,"="&amp;D$4)</f>
        <v/>
      </c>
      <c r="E7" s="4">
        <f>COUNTIFS('All Breaks'!$D$2:$D$62,$A7,'All Breaks'!$N$2:$N$62,"="&amp;E$4)</f>
        <v/>
      </c>
      <c r="F7" s="4">
        <f>SUM(B7:E7)</f>
        <v/>
      </c>
    </row>
    <row r="8">
      <c r="A8" s="4" t="inlineStr">
        <is>
          <t>Pricing</t>
        </is>
      </c>
      <c r="B8" s="4">
        <f>COUNTIFS('All Breaks'!$D$2:$D$62,$A8,'All Breaks'!$N$2:$N$62,"="&amp;B$4)</f>
        <v/>
      </c>
      <c r="C8" s="4">
        <f>COUNTIFS('All Breaks'!$D$2:$D$62,$A8,'All Breaks'!$N$2:$N$62,"="&amp;C$4)</f>
        <v/>
      </c>
      <c r="D8" s="4">
        <f>COUNTIFS('All Breaks'!$D$2:$D$62,$A8,'All Breaks'!$N$2:$N$62,"="&amp;D$4)</f>
        <v/>
      </c>
      <c r="E8" s="4">
        <f>COUNTIFS('All Breaks'!$D$2:$D$62,$A8,'All Breaks'!$N$2:$N$62,"="&amp;E$4)</f>
        <v/>
      </c>
      <c r="F8" s="4">
        <f>SUM(B8:E8)</f>
        <v/>
      </c>
    </row>
  </sheetData>
  <conditionalFormatting sqref="B5:E8">
    <cfRule type="cellIs" priority="1" operator="greater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36" customWidth="1" min="3" max="3"/>
    <col width="28" customWidth="1" min="4" max="4"/>
    <col width="13" customWidth="1" min="5" max="5"/>
    <col width="12" customWidth="1" min="6" max="6"/>
    <col width="24" customWidth="1" min="7" max="7"/>
    <col width="22" customWidth="1" min="8" max="8"/>
    <col width="22" customWidth="1" min="9" max="9"/>
    <col width="14" customWidth="1" min="10" max="10"/>
    <col width="16" customWidth="1" min="11" max="11"/>
    <col width="14" customWidth="1" min="12" max="12"/>
    <col width="9" customWidth="1" min="13" max="13"/>
    <col width="11" customWidth="1" min="14" max="14"/>
    <col width="10" customWidth="1" min="15" max="15"/>
    <col width="70" customWidth="1" min="16" max="16"/>
    <col width="70" customWidth="1" min="17" max="17"/>
  </cols>
  <sheetData>
    <row r="1" ht="30" customHeight="1">
      <c r="A1" s="11" t="inlineStr">
        <is>
          <t>Break Id</t>
        </is>
      </c>
      <c r="B1" s="11" t="inlineStr">
        <is>
          <t>Category</t>
        </is>
      </c>
      <c r="C1" s="11" t="inlineStr">
        <is>
          <t>Break Type</t>
        </is>
      </c>
      <c r="D1" s="11" t="inlineStr">
        <is>
          <t>Owner Team</t>
        </is>
      </c>
      <c r="E1" s="11" t="inlineStr">
        <is>
          <t>Account</t>
        </is>
      </c>
      <c r="F1" s="11" t="inlineStr">
        <is>
          <t>Security Id</t>
        </is>
      </c>
      <c r="G1" s="11" t="inlineStr">
        <is>
          <t>Reference</t>
        </is>
      </c>
      <c r="H1" s="11" t="inlineStr">
        <is>
          <t>Internal Value</t>
        </is>
      </c>
      <c r="I1" s="11" t="inlineStr">
        <is>
          <t>Custodian Value</t>
        </is>
      </c>
      <c r="J1" s="11" t="inlineStr">
        <is>
          <t>Difference</t>
        </is>
      </c>
      <c r="K1" s="11" t="inlineStr">
        <is>
          <t>Notional Usd</t>
        </is>
      </c>
      <c r="L1" s="11" t="inlineStr">
        <is>
          <t>Reference Date</t>
        </is>
      </c>
      <c r="M1" s="11" t="inlineStr">
        <is>
          <t>Age Days</t>
        </is>
      </c>
      <c r="N1" s="11" t="inlineStr">
        <is>
          <t>Age Bucket</t>
        </is>
      </c>
      <c r="O1" s="11" t="inlineStr">
        <is>
          <t>Severity</t>
        </is>
      </c>
      <c r="P1" s="11" t="inlineStr">
        <is>
          <t>Explanation</t>
        </is>
      </c>
      <c r="Q1" s="11" t="inlineStr">
        <is>
          <t>Suggested Action</t>
        </is>
      </c>
    </row>
    <row r="2">
      <c r="A2" s="4" t="inlineStr">
        <is>
          <t>BRK-20261007-0001</t>
        </is>
      </c>
      <c r="B2" s="4" t="inlineStr">
        <is>
          <t>POSITION</t>
        </is>
      </c>
      <c r="C2" s="4" t="inlineStr">
        <is>
          <t>POSITION_BREAK_CORP_ACTION_SPLIT</t>
        </is>
      </c>
      <c r="D2" s="4" t="inlineStr">
        <is>
          <t>Middle Office</t>
        </is>
      </c>
      <c r="E2" s="4" t="inlineStr">
        <is>
          <t>FUND_GAMMA</t>
        </is>
      </c>
      <c r="F2" s="4" t="inlineStr">
        <is>
          <t>SEC009</t>
        </is>
      </c>
      <c r="G2" s="4" t="inlineStr">
        <is>
          <t>FUND_GAMMA|SEC009</t>
        </is>
      </c>
      <c r="H2" s="7" t="n">
        <v>37000</v>
      </c>
      <c r="I2" s="7" t="n">
        <v>74000</v>
      </c>
      <c r="J2" s="7" t="n">
        <v>-37000</v>
      </c>
      <c r="K2" s="7" t="n">
        <v>12218535.9</v>
      </c>
      <c r="L2" s="12" t="n">
        <v>46302</v>
      </c>
      <c r="M2" s="4" t="n">
        <v>0</v>
      </c>
      <c r="N2" s="4" t="inlineStr">
        <is>
          <t>0-1d</t>
        </is>
      </c>
      <c r="O2" s="4" t="inlineStr">
        <is>
          <t>HIGH</t>
        </is>
      </c>
      <c r="P2" s="13" t="inlineStr">
        <is>
          <t>Custodian quantity is exactly 2x the platform: 2-for-1 split not booked on the platform.</t>
        </is>
      </c>
      <c r="Q2" s="13" t="inlineStr">
        <is>
          <t>Book the split on the platform (ratio and ex-date) and re-run.</t>
        </is>
      </c>
    </row>
    <row r="3">
      <c r="A3" s="4" t="inlineStr">
        <is>
          <t>BRK-20261007-0002</t>
        </is>
      </c>
      <c r="B3" s="4" t="inlineStr">
        <is>
          <t>POSITION</t>
        </is>
      </c>
      <c r="C3" s="4" t="inlineStr">
        <is>
          <t>POSITION_BREAK_CORP_ACTION_SPLIT</t>
        </is>
      </c>
      <c r="D3" s="4" t="inlineStr">
        <is>
          <t>Middle Office</t>
        </is>
      </c>
      <c r="E3" s="4" t="inlineStr">
        <is>
          <t>FUND_ALPHA</t>
        </is>
      </c>
      <c r="F3" s="4" t="inlineStr">
        <is>
          <t>SEC009</t>
        </is>
      </c>
      <c r="G3" s="4" t="inlineStr">
        <is>
          <t>FUND_ALPHA|SEC009</t>
        </is>
      </c>
      <c r="H3" s="7" t="n">
        <v>31600</v>
      </c>
      <c r="I3" s="7" t="n">
        <v>63200</v>
      </c>
      <c r="J3" s="7" t="n">
        <v>-31600</v>
      </c>
      <c r="K3" s="7" t="n">
        <v>10435290.12</v>
      </c>
      <c r="L3" s="12" t="n">
        <v>46302</v>
      </c>
      <c r="M3" s="4" t="n">
        <v>0</v>
      </c>
      <c r="N3" s="4" t="inlineStr">
        <is>
          <t>0-1d</t>
        </is>
      </c>
      <c r="O3" s="4" t="inlineStr">
        <is>
          <t>HIGH</t>
        </is>
      </c>
      <c r="P3" s="13" t="inlineStr">
        <is>
          <t>Custodian quantity is exactly 2x the platform: 2-for-1 split not booked on the platform.</t>
        </is>
      </c>
      <c r="Q3" s="13" t="inlineStr">
        <is>
          <t>Book the split on the platform (ratio and ex-date) and re-run.</t>
        </is>
      </c>
    </row>
    <row r="4">
      <c r="A4" s="4" t="inlineStr">
        <is>
          <t>BRK-20261007-0003</t>
        </is>
      </c>
      <c r="B4" s="4" t="inlineStr">
        <is>
          <t>POSITION</t>
        </is>
      </c>
      <c r="C4" s="4" t="inlineStr">
        <is>
          <t>POSITION_BREAK_CORP_ACTION_SPLIT</t>
        </is>
      </c>
      <c r="D4" s="4" t="inlineStr">
        <is>
          <t>Middle Office</t>
        </is>
      </c>
      <c r="E4" s="4" t="inlineStr">
        <is>
          <t>FUND_BETA</t>
        </is>
      </c>
      <c r="F4" s="4" t="inlineStr">
        <is>
          <t>SEC009</t>
        </is>
      </c>
      <c r="G4" s="4" t="inlineStr">
        <is>
          <t>FUND_BETA|SEC009</t>
        </is>
      </c>
      <c r="H4" s="7" t="n">
        <v>-25600</v>
      </c>
      <c r="I4" s="7" t="n">
        <v>-51200</v>
      </c>
      <c r="J4" s="7" t="n">
        <v>25600</v>
      </c>
      <c r="K4" s="7" t="n">
        <v>8453905.92</v>
      </c>
      <c r="L4" s="12" t="n">
        <v>46302</v>
      </c>
      <c r="M4" s="4" t="n">
        <v>0</v>
      </c>
      <c r="N4" s="4" t="inlineStr">
        <is>
          <t>0-1d</t>
        </is>
      </c>
      <c r="O4" s="4" t="inlineStr">
        <is>
          <t>HIGH</t>
        </is>
      </c>
      <c r="P4" s="13" t="inlineStr">
        <is>
          <t>Custodian quantity is exactly 2x the platform: 2-for-1 split not booked on the platform.</t>
        </is>
      </c>
      <c r="Q4" s="13" t="inlineStr">
        <is>
          <t>Book the split on the platform (ratio and ex-date) and re-run.</t>
        </is>
      </c>
    </row>
    <row r="5">
      <c r="A5" s="4" t="inlineStr">
        <is>
          <t>BRK-20261007-0004</t>
        </is>
      </c>
      <c r="B5" s="4" t="inlineStr">
        <is>
          <t>POSITION</t>
        </is>
      </c>
      <c r="C5" s="4" t="inlineStr">
        <is>
          <t>POSITION_BREAK_CORP_ACTION_SPLIT</t>
        </is>
      </c>
      <c r="D5" s="4" t="inlineStr">
        <is>
          <t>Middle Office</t>
        </is>
      </c>
      <c r="E5" s="4" t="inlineStr">
        <is>
          <t>FUND_GAMMA</t>
        </is>
      </c>
      <c r="F5" s="4" t="inlineStr">
        <is>
          <t>SEC004</t>
        </is>
      </c>
      <c r="G5" s="4" t="inlineStr">
        <is>
          <t>FUND_GAMMA|SEC004</t>
        </is>
      </c>
      <c r="H5" s="7" t="n">
        <v>33000</v>
      </c>
      <c r="I5" s="7" t="n">
        <v>66000</v>
      </c>
      <c r="J5" s="7" t="n">
        <v>-33000</v>
      </c>
      <c r="K5" s="7" t="n">
        <v>8160814.2</v>
      </c>
      <c r="L5" s="12" t="n">
        <v>46302</v>
      </c>
      <c r="M5" s="4" t="n">
        <v>0</v>
      </c>
      <c r="N5" s="4" t="inlineStr">
        <is>
          <t>0-1d</t>
        </is>
      </c>
      <c r="O5" s="4" t="inlineStr">
        <is>
          <t>HIGH</t>
        </is>
      </c>
      <c r="P5" s="13" t="inlineStr">
        <is>
          <t>Custodian quantity is exactly 2x the platform: 2-for-1 split not booked on the platform.</t>
        </is>
      </c>
      <c r="Q5" s="13" t="inlineStr">
        <is>
          <t>Book the split on the platform (ratio and ex-date) and re-run.</t>
        </is>
      </c>
    </row>
    <row r="6">
      <c r="A6" s="4" t="inlineStr">
        <is>
          <t>BRK-20261007-0005</t>
        </is>
      </c>
      <c r="B6" s="4" t="inlineStr">
        <is>
          <t>POSITION</t>
        </is>
      </c>
      <c r="C6" s="4" t="inlineStr">
        <is>
          <t>POSITION_BREAK_CORP_ACTION_SPLIT</t>
        </is>
      </c>
      <c r="D6" s="4" t="inlineStr">
        <is>
          <t>Middle Office</t>
        </is>
      </c>
      <c r="E6" s="4" t="inlineStr">
        <is>
          <t>FUND_ALPHA</t>
        </is>
      </c>
      <c r="F6" s="4" t="inlineStr">
        <is>
          <t>SEC004</t>
        </is>
      </c>
      <c r="G6" s="4" t="inlineStr">
        <is>
          <t>FUND_ALPHA|SEC004</t>
        </is>
      </c>
      <c r="H6" s="7" t="n">
        <v>28900</v>
      </c>
      <c r="I6" s="7" t="n">
        <v>57800</v>
      </c>
      <c r="J6" s="7" t="n">
        <v>-28900</v>
      </c>
      <c r="K6" s="7" t="n">
        <v>7146894.86</v>
      </c>
      <c r="L6" s="12" t="n">
        <v>46302</v>
      </c>
      <c r="M6" s="4" t="n">
        <v>0</v>
      </c>
      <c r="N6" s="4" t="inlineStr">
        <is>
          <t>0-1d</t>
        </is>
      </c>
      <c r="O6" s="4" t="inlineStr">
        <is>
          <t>HIGH</t>
        </is>
      </c>
      <c r="P6" s="13" t="inlineStr">
        <is>
          <t>Custodian quantity is exactly 2x the platform: 2-for-1 split not booked on the platform.</t>
        </is>
      </c>
      <c r="Q6" s="13" t="inlineStr">
        <is>
          <t>Book the split on the platform (ratio and ex-date) and re-run.</t>
        </is>
      </c>
    </row>
    <row r="7">
      <c r="A7" s="4" t="inlineStr">
        <is>
          <t>BRK-20261007-0006</t>
        </is>
      </c>
      <c r="B7" s="4" t="inlineStr">
        <is>
          <t>POSITION</t>
        </is>
      </c>
      <c r="C7" s="4" t="inlineStr">
        <is>
          <t>POSITION_BREAK_CORP_ACTION_SPLIT</t>
        </is>
      </c>
      <c r="D7" s="4" t="inlineStr">
        <is>
          <t>Middle Office</t>
        </is>
      </c>
      <c r="E7" s="4" t="inlineStr">
        <is>
          <t>FUND_BETA</t>
        </is>
      </c>
      <c r="F7" s="4" t="inlineStr">
        <is>
          <t>SEC004</t>
        </is>
      </c>
      <c r="G7" s="4" t="inlineStr">
        <is>
          <t>FUND_BETA|SEC004</t>
        </is>
      </c>
      <c r="H7" s="7" t="n">
        <v>-26700</v>
      </c>
      <c r="I7" s="7" t="n">
        <v>-53400</v>
      </c>
      <c r="J7" s="7" t="n">
        <v>26700</v>
      </c>
      <c r="K7" s="7" t="n">
        <v>6602840.58</v>
      </c>
      <c r="L7" s="12" t="n">
        <v>46302</v>
      </c>
      <c r="M7" s="4" t="n">
        <v>0</v>
      </c>
      <c r="N7" s="4" t="inlineStr">
        <is>
          <t>0-1d</t>
        </is>
      </c>
      <c r="O7" s="4" t="inlineStr">
        <is>
          <t>HIGH</t>
        </is>
      </c>
      <c r="P7" s="13" t="inlineStr">
        <is>
          <t>Custodian quantity is exactly 2x the platform: 2-for-1 split not booked on the platform.</t>
        </is>
      </c>
      <c r="Q7" s="13" t="inlineStr">
        <is>
          <t>Book the split on the platform (ratio and ex-date) and re-run.</t>
        </is>
      </c>
    </row>
    <row r="8">
      <c r="A8" s="4" t="inlineStr">
        <is>
          <t>BRK-20261007-0007</t>
        </is>
      </c>
      <c r="B8" s="4" t="inlineStr">
        <is>
          <t>TRADE</t>
        </is>
      </c>
      <c r="C8" s="4" t="inlineStr">
        <is>
          <t>TRADE_SETTLE_DATE_MISMATCH</t>
        </is>
      </c>
      <c r="D8" s="4" t="inlineStr">
        <is>
          <t>Trade Accounting &amp; Operation</t>
        </is>
      </c>
      <c r="E8" s="4" t="inlineStr">
        <is>
          <t>FUND_ALPHA</t>
        </is>
      </c>
      <c r="F8" s="4" t="inlineStr">
        <is>
          <t>SEC012</t>
        </is>
      </c>
      <c r="G8" s="4" t="inlineStr">
        <is>
          <t>TRD100187</t>
        </is>
      </c>
      <c r="H8" s="4" t="inlineStr">
        <is>
          <t>2026-10-06</t>
        </is>
      </c>
      <c r="I8" s="4" t="inlineStr">
        <is>
          <t>2026-10-07</t>
        </is>
      </c>
      <c r="J8" s="4" t="n"/>
      <c r="K8" s="7" t="n">
        <v>4821861.54</v>
      </c>
      <c r="L8" s="12" t="n">
        <v>46301</v>
      </c>
      <c r="M8" s="4" t="n">
        <v>1</v>
      </c>
      <c r="N8" s="4" t="inlineStr">
        <is>
          <t>0-1d</t>
        </is>
      </c>
      <c r="O8" s="4" t="inlineStr">
        <is>
          <t>HIGH</t>
        </is>
      </c>
      <c r="P8" s="13" t="inlineStr">
        <is>
          <t>Settlement dates disagree; risk of a settlement fail.</t>
        </is>
      </c>
      <c r="Q8" s="13" t="inlineStr">
        <is>
          <t>Check SSI and settlement instructions; align settle date to avoid a fail.</t>
        </is>
      </c>
    </row>
    <row r="9">
      <c r="A9" s="4" t="inlineStr">
        <is>
          <t>BRK-20261007-0008</t>
        </is>
      </c>
      <c r="B9" s="4" t="inlineStr">
        <is>
          <t>TRADE</t>
        </is>
      </c>
      <c r="C9" s="4" t="inlineStr">
        <is>
          <t>TRADE_MISSING_IN_CUSTODIAN</t>
        </is>
      </c>
      <c r="D9" s="4" t="inlineStr">
        <is>
          <t>Trade Accounting &amp; Operation</t>
        </is>
      </c>
      <c r="E9" s="4" t="inlineStr">
        <is>
          <t>FUND_ALPHA</t>
        </is>
      </c>
      <c r="F9" s="4" t="inlineStr">
        <is>
          <t>SEC011</t>
        </is>
      </c>
      <c r="G9" s="4" t="inlineStr">
        <is>
          <t>TRD100267</t>
        </is>
      </c>
      <c r="H9" s="4" t="inlineStr">
        <is>
          <t>SELL 11,800 @ 391.9323</t>
        </is>
      </c>
      <c r="I9" s="4" t="inlineStr">
        <is>
          <t>(missing)</t>
        </is>
      </c>
      <c r="J9" s="4" t="n"/>
      <c r="K9" s="7" t="n">
        <v>4624801.14</v>
      </c>
      <c r="L9" s="12" t="n">
        <v>46300</v>
      </c>
      <c r="M9" s="4" t="n">
        <v>2</v>
      </c>
      <c r="N9" s="4" t="inlineStr">
        <is>
          <t>2-5d</t>
        </is>
      </c>
      <c r="O9" s="4" t="inlineStr">
        <is>
          <t>HIGH</t>
        </is>
      </c>
      <c r="P9" s="13" t="inlineStr">
        <is>
          <t>Trade exists on the platform but not at the custodian.</t>
        </is>
      </c>
      <c r="Q9" s="13" t="inlineStr">
        <is>
          <t>Confirm trade with counterparty; check allocation and send trade to custodian.</t>
        </is>
      </c>
    </row>
    <row r="10">
      <c r="A10" s="4" t="inlineStr">
        <is>
          <t>BRK-20261007-0009</t>
        </is>
      </c>
      <c r="B10" s="4" t="inlineStr">
        <is>
          <t>TRADE</t>
        </is>
      </c>
      <c r="C10" s="4" t="inlineStr">
        <is>
          <t>TRADE_SETTLE_DATE_MISMATCH</t>
        </is>
      </c>
      <c r="D10" s="4" t="inlineStr">
        <is>
          <t>Trade Accounting &amp; Operation</t>
        </is>
      </c>
      <c r="E10" s="4" t="inlineStr">
        <is>
          <t>FUND_BETA</t>
        </is>
      </c>
      <c r="F10" s="4" t="inlineStr">
        <is>
          <t>SEC012</t>
        </is>
      </c>
      <c r="G10" s="4" t="inlineStr">
        <is>
          <t>TRD100046</t>
        </is>
      </c>
      <c r="H10" s="4" t="inlineStr">
        <is>
          <t>2026-10-06</t>
        </is>
      </c>
      <c r="I10" s="4" t="inlineStr">
        <is>
          <t>2026-10-07</t>
        </is>
      </c>
      <c r="J10" s="4" t="n"/>
      <c r="K10" s="7" t="n">
        <v>3714541.04</v>
      </c>
      <c r="L10" s="12" t="n">
        <v>46301</v>
      </c>
      <c r="M10" s="4" t="n">
        <v>1</v>
      </c>
      <c r="N10" s="4" t="inlineStr">
        <is>
          <t>0-1d</t>
        </is>
      </c>
      <c r="O10" s="4" t="inlineStr">
        <is>
          <t>HIGH</t>
        </is>
      </c>
      <c r="P10" s="13" t="inlineStr">
        <is>
          <t>Settlement dates disagree; risk of a settlement fail.</t>
        </is>
      </c>
      <c r="Q10" s="13" t="inlineStr">
        <is>
          <t>Check SSI and settlement instructions; align settle date to avoid a fail.</t>
        </is>
      </c>
    </row>
    <row r="11">
      <c r="A11" s="4" t="inlineStr">
        <is>
          <t>BRK-20261007-0010</t>
        </is>
      </c>
      <c r="B11" s="4" t="inlineStr">
        <is>
          <t>POSITION</t>
        </is>
      </c>
      <c r="C11" s="4" t="inlineStr">
        <is>
          <t>POSITION_BREAK_TRADE_DRIVEN</t>
        </is>
      </c>
      <c r="D11" s="4" t="inlineStr">
        <is>
          <t>Trade Accounting &amp; Operation</t>
        </is>
      </c>
      <c r="E11" s="4" t="inlineStr">
        <is>
          <t>FUND_ALPHA</t>
        </is>
      </c>
      <c r="F11" s="4" t="inlineStr">
        <is>
          <t>SEC011</t>
        </is>
      </c>
      <c r="G11" s="4" t="inlineStr">
        <is>
          <t>FUND_ALPHA|SEC011</t>
        </is>
      </c>
      <c r="H11" s="7" t="n">
        <v>39600</v>
      </c>
      <c r="I11" s="7" t="n">
        <v>47600</v>
      </c>
      <c r="J11" s="7" t="n">
        <v>-8000</v>
      </c>
      <c r="K11" s="7" t="n">
        <v>3135335.2</v>
      </c>
      <c r="L11" s="12" t="n">
        <v>46302</v>
      </c>
      <c r="M11" s="4" t="n">
        <v>0</v>
      </c>
      <c r="N11" s="4" t="inlineStr">
        <is>
          <t>0-1d</t>
        </is>
      </c>
      <c r="O11" s="4" t="inlineStr">
        <is>
          <t>HIGH</t>
        </is>
      </c>
      <c r="P11" s="13" t="inlineStr">
        <is>
          <t>Fully explained by trade break(s): TRD100089, TRD100267, TRD90001</t>
        </is>
      </c>
      <c r="Q11" s="13" t="inlineStr">
        <is>
          <t>No separate action; clears when the linked trade break is resolved.</t>
        </is>
      </c>
    </row>
    <row r="12">
      <c r="A12" s="4" t="inlineStr">
        <is>
          <t>BRK-20261007-0011</t>
        </is>
      </c>
      <c r="B12" s="4" t="inlineStr">
        <is>
          <t>TRADE</t>
        </is>
      </c>
      <c r="C12" s="4" t="inlineStr">
        <is>
          <t>TRADE_MISSING_IN_CUSTODIAN</t>
        </is>
      </c>
      <c r="D12" s="4" t="inlineStr">
        <is>
          <t>Trade Accounting &amp; Operation</t>
        </is>
      </c>
      <c r="E12" s="4" t="inlineStr">
        <is>
          <t>FUND_BETA</t>
        </is>
      </c>
      <c r="F12" s="4" t="inlineStr">
        <is>
          <t>SEC015</t>
        </is>
      </c>
      <c r="G12" s="4" t="inlineStr">
        <is>
          <t>TRD100164</t>
        </is>
      </c>
      <c r="H12" s="4" t="inlineStr">
        <is>
          <t>BUY 13,500 @ 216.9081</t>
        </is>
      </c>
      <c r="I12" s="4" t="inlineStr">
        <is>
          <t>(missing)</t>
        </is>
      </c>
      <c r="J12" s="4" t="n"/>
      <c r="K12" s="7" t="n">
        <v>2928259.35</v>
      </c>
      <c r="L12" s="12" t="n">
        <v>46290</v>
      </c>
      <c r="M12" s="4" t="n">
        <v>8</v>
      </c>
      <c r="N12" s="4" t="inlineStr">
        <is>
          <t>6-10d</t>
        </is>
      </c>
      <c r="O12" s="4" t="inlineStr">
        <is>
          <t>HIGH</t>
        </is>
      </c>
      <c r="P12" s="13" t="inlineStr">
        <is>
          <t>Trade exists on the platform but not at the custodian.</t>
        </is>
      </c>
      <c r="Q12" s="13" t="inlineStr">
        <is>
          <t>Confirm trade with counterparty; check allocation and send trade to custodian.</t>
        </is>
      </c>
    </row>
    <row r="13">
      <c r="A13" s="4" t="inlineStr">
        <is>
          <t>BRK-20261007-0012</t>
        </is>
      </c>
      <c r="B13" s="4" t="inlineStr">
        <is>
          <t>POSITION</t>
        </is>
      </c>
      <c r="C13" s="4" t="inlineStr">
        <is>
          <t>POSITION_BREAK_TRADE_DRIVEN</t>
        </is>
      </c>
      <c r="D13" s="4" t="inlineStr">
        <is>
          <t>Trade Accounting &amp; Operation</t>
        </is>
      </c>
      <c r="E13" s="4" t="inlineStr">
        <is>
          <t>FUND_BETA</t>
        </is>
      </c>
      <c r="F13" s="4" t="inlineStr">
        <is>
          <t>SEC015</t>
        </is>
      </c>
      <c r="G13" s="4" t="inlineStr">
        <is>
          <t>FUND_BETA|SEC015</t>
        </is>
      </c>
      <c r="H13" s="7" t="n">
        <v>14500</v>
      </c>
      <c r="I13" s="7" t="n">
        <v>1000</v>
      </c>
      <c r="J13" s="7" t="n">
        <v>13500</v>
      </c>
      <c r="K13" s="7" t="n">
        <v>2916110.7</v>
      </c>
      <c r="L13" s="12" t="n">
        <v>46302</v>
      </c>
      <c r="M13" s="4" t="n">
        <v>0</v>
      </c>
      <c r="N13" s="4" t="inlineStr">
        <is>
          <t>0-1d</t>
        </is>
      </c>
      <c r="O13" s="4" t="inlineStr">
        <is>
          <t>HIGH</t>
        </is>
      </c>
      <c r="P13" s="13" t="inlineStr">
        <is>
          <t>Fully explained by trade break(s): TRD100164</t>
        </is>
      </c>
      <c r="Q13" s="13" t="inlineStr">
        <is>
          <t>No separate action; clears when the linked trade break is resolved.</t>
        </is>
      </c>
    </row>
    <row r="14">
      <c r="A14" s="4" t="inlineStr">
        <is>
          <t>BRK-20261007-0013</t>
        </is>
      </c>
      <c r="B14" s="4" t="inlineStr">
        <is>
          <t>POSITION</t>
        </is>
      </c>
      <c r="C14" s="4" t="inlineStr">
        <is>
          <t>POSITION_BREAK_TRADE_DRIVEN</t>
        </is>
      </c>
      <c r="D14" s="4" t="inlineStr">
        <is>
          <t>Trade Accounting &amp; Operation</t>
        </is>
      </c>
      <c r="E14" s="4" t="inlineStr">
        <is>
          <t>FUND_BETA</t>
        </is>
      </c>
      <c r="F14" s="4" t="inlineStr">
        <is>
          <t>SEC018</t>
        </is>
      </c>
      <c r="G14" s="4" t="inlineStr">
        <is>
          <t>FUND_BETA|SEC018</t>
        </is>
      </c>
      <c r="H14" s="7" t="n">
        <v>-300</v>
      </c>
      <c r="I14" s="7" t="n">
        <v>-13000</v>
      </c>
      <c r="J14" s="7" t="n">
        <v>12700</v>
      </c>
      <c r="K14" s="7" t="n">
        <v>2870954.38</v>
      </c>
      <c r="L14" s="12" t="n">
        <v>46302</v>
      </c>
      <c r="M14" s="4" t="n">
        <v>0</v>
      </c>
      <c r="N14" s="4" t="inlineStr">
        <is>
          <t>0-1d</t>
        </is>
      </c>
      <c r="O14" s="4" t="inlineStr">
        <is>
          <t>HIGH</t>
        </is>
      </c>
      <c r="P14" s="13" t="inlineStr">
        <is>
          <t>Fully explained by trade break(s): TRD100292</t>
        </is>
      </c>
      <c r="Q14" s="13" t="inlineStr">
        <is>
          <t>No separate action; clears when the linked trade break is resolved.</t>
        </is>
      </c>
    </row>
    <row r="15">
      <c r="A15" s="4" t="inlineStr">
        <is>
          <t>BRK-20261007-0014</t>
        </is>
      </c>
      <c r="B15" s="4" t="inlineStr">
        <is>
          <t>TRADE</t>
        </is>
      </c>
      <c r="C15" s="4" t="inlineStr">
        <is>
          <t>TRADE_MISSING_IN_CUSTODIAN</t>
        </is>
      </c>
      <c r="D15" s="4" t="inlineStr">
        <is>
          <t>Trade Accounting &amp; Operation</t>
        </is>
      </c>
      <c r="E15" s="4" t="inlineStr">
        <is>
          <t>FUND_BETA</t>
        </is>
      </c>
      <c r="F15" s="4" t="inlineStr">
        <is>
          <t>SEC018</t>
        </is>
      </c>
      <c r="G15" s="4" t="inlineStr">
        <is>
          <t>TRD100292</t>
        </is>
      </c>
      <c r="H15" s="4" t="inlineStr">
        <is>
          <t>BUY 12,700 @ 224.9186</t>
        </is>
      </c>
      <c r="I15" s="4" t="inlineStr">
        <is>
          <t>(missing)</t>
        </is>
      </c>
      <c r="J15" s="4" t="n"/>
      <c r="K15" s="7" t="n">
        <v>2856466.22</v>
      </c>
      <c r="L15" s="12" t="n">
        <v>46296</v>
      </c>
      <c r="M15" s="4" t="n">
        <v>4</v>
      </c>
      <c r="N15" s="4" t="inlineStr">
        <is>
          <t>2-5d</t>
        </is>
      </c>
      <c r="O15" s="4" t="inlineStr">
        <is>
          <t>HIGH</t>
        </is>
      </c>
      <c r="P15" s="13" t="inlineStr">
        <is>
          <t>Trade exists on the platform but not at the custodian.</t>
        </is>
      </c>
      <c r="Q15" s="13" t="inlineStr">
        <is>
          <t>Confirm trade with counterparty; check allocation and send trade to custodian.</t>
        </is>
      </c>
    </row>
    <row r="16">
      <c r="A16" s="4" t="inlineStr">
        <is>
          <t>BRK-20261007-0015</t>
        </is>
      </c>
      <c r="B16" s="4" t="inlineStr">
        <is>
          <t>TRADE</t>
        </is>
      </c>
      <c r="C16" s="4" t="inlineStr">
        <is>
          <t>TRADE_SETTLE_DATE_MISMATCH</t>
        </is>
      </c>
      <c r="D16" s="4" t="inlineStr">
        <is>
          <t>Trade Accounting &amp; Operation</t>
        </is>
      </c>
      <c r="E16" s="4" t="inlineStr">
        <is>
          <t>FUND_GAMMA</t>
        </is>
      </c>
      <c r="F16" s="4" t="inlineStr">
        <is>
          <t>SEC007</t>
        </is>
      </c>
      <c r="G16" s="4" t="inlineStr">
        <is>
          <t>TRD100091</t>
        </is>
      </c>
      <c r="H16" s="4" t="inlineStr">
        <is>
          <t>2026-09-25</t>
        </is>
      </c>
      <c r="I16" s="4" t="inlineStr">
        <is>
          <t>2026-09-28</t>
        </is>
      </c>
      <c r="J16" s="4" t="n"/>
      <c r="K16" s="7" t="n">
        <v>2070628.38</v>
      </c>
      <c r="L16" s="12" t="n">
        <v>46290</v>
      </c>
      <c r="M16" s="4" t="n">
        <v>8</v>
      </c>
      <c r="N16" s="4" t="inlineStr">
        <is>
          <t>6-10d</t>
        </is>
      </c>
      <c r="O16" s="4" t="inlineStr">
        <is>
          <t>HIGH</t>
        </is>
      </c>
      <c r="P16" s="13" t="inlineStr">
        <is>
          <t>Settlement dates disagree; risk of a settlement fail.</t>
        </is>
      </c>
      <c r="Q16" s="13" t="inlineStr">
        <is>
          <t>Check SSI and settlement instructions; align settle date to avoid a fail.</t>
        </is>
      </c>
    </row>
    <row r="17">
      <c r="A17" s="4" t="inlineStr">
        <is>
          <t>BRK-20261007-0016</t>
        </is>
      </c>
      <c r="B17" s="4" t="inlineStr">
        <is>
          <t>CASH</t>
        </is>
      </c>
      <c r="C17" s="4" t="inlineStr">
        <is>
          <t>CASH_BREAK_UPSTREAM_DRIVEN</t>
        </is>
      </c>
      <c r="D17" s="4" t="inlineStr">
        <is>
          <t>Trade Accounting &amp; Operation</t>
        </is>
      </c>
      <c r="E17" s="4" t="inlineStr">
        <is>
          <t>FUND_ALPHA</t>
        </is>
      </c>
      <c r="F17" s="4" t="n"/>
      <c r="G17" s="4" t="inlineStr">
        <is>
          <t>FUND_ALPHA|USD</t>
        </is>
      </c>
      <c r="H17" s="7" t="n">
        <v>-12494367.95</v>
      </c>
      <c r="I17" s="7" t="n">
        <v>-14468854.03</v>
      </c>
      <c r="J17" s="7" t="n">
        <v>1974486.08</v>
      </c>
      <c r="K17" s="7" t="n">
        <v>1974486.08</v>
      </c>
      <c r="L17" s="12" t="n">
        <v>46302</v>
      </c>
      <c r="M17" s="4" t="n">
        <v>0</v>
      </c>
      <c r="N17" s="4" t="inlineStr">
        <is>
          <t>0-1d</t>
        </is>
      </c>
      <c r="O17" s="4" t="inlineStr">
        <is>
          <t>HIGH</t>
        </is>
      </c>
      <c r="P17" s="13" t="inlineStr">
        <is>
          <t>Fully explained by: trade breaks 1,976,331.08; margin breaks 0.00; unbooked dividends -1,845.00; residual 0.00</t>
        </is>
      </c>
      <c r="Q17" s="13" t="inlineStr">
        <is>
          <t>No separate action; clears when linked trade, margin and corporate action breaks clear.</t>
        </is>
      </c>
    </row>
    <row r="18">
      <c r="A18" s="4" t="inlineStr">
        <is>
          <t>BRK-20261007-0017</t>
        </is>
      </c>
      <c r="B18" s="4" t="inlineStr">
        <is>
          <t>POSITION</t>
        </is>
      </c>
      <c r="C18" s="4" t="inlineStr">
        <is>
          <t>POSITION_BREAK_TRADE_DRIVEN</t>
        </is>
      </c>
      <c r="D18" s="4" t="inlineStr">
        <is>
          <t>Trade Accounting &amp; Operation</t>
        </is>
      </c>
      <c r="E18" s="4" t="inlineStr">
        <is>
          <t>FUND_ALPHA</t>
        </is>
      </c>
      <c r="F18" s="4" t="inlineStr">
        <is>
          <t>SEC008</t>
        </is>
      </c>
      <c r="G18" s="4" t="inlineStr">
        <is>
          <t>FUND_ALPHA|SEC008</t>
        </is>
      </c>
      <c r="H18" s="7" t="n">
        <v>22800</v>
      </c>
      <c r="I18" s="7" t="n">
        <v>3300</v>
      </c>
      <c r="J18" s="7" t="n">
        <v>19500</v>
      </c>
      <c r="K18" s="7" t="n">
        <v>1502987.85</v>
      </c>
      <c r="L18" s="12" t="n">
        <v>46302</v>
      </c>
      <c r="M18" s="4" t="n">
        <v>0</v>
      </c>
      <c r="N18" s="4" t="inlineStr">
        <is>
          <t>0-1d</t>
        </is>
      </c>
      <c r="O18" s="4" t="inlineStr">
        <is>
          <t>HIGH</t>
        </is>
      </c>
      <c r="P18" s="13" t="inlineStr">
        <is>
          <t>Fully explained by trade break(s): TRD100027</t>
        </is>
      </c>
      <c r="Q18" s="13" t="inlineStr">
        <is>
          <t>No separate action; clears when the linked trade break is resolved.</t>
        </is>
      </c>
    </row>
    <row r="19">
      <c r="A19" s="4" t="inlineStr">
        <is>
          <t>BRK-20261007-0018</t>
        </is>
      </c>
      <c r="B19" s="4" t="inlineStr">
        <is>
          <t>TRADE</t>
        </is>
      </c>
      <c r="C19" s="4" t="inlineStr">
        <is>
          <t>TRADE_MISSING_IN_CUSTODIAN</t>
        </is>
      </c>
      <c r="D19" s="4" t="inlineStr">
        <is>
          <t>Trade Accounting &amp; Operation</t>
        </is>
      </c>
      <c r="E19" s="4" t="inlineStr">
        <is>
          <t>FUND_ALPHA</t>
        </is>
      </c>
      <c r="F19" s="4" t="inlineStr">
        <is>
          <t>SEC008</t>
        </is>
      </c>
      <c r="G19" s="4" t="inlineStr">
        <is>
          <t>TRD100027</t>
        </is>
      </c>
      <c r="H19" s="4" t="inlineStr">
        <is>
          <t>BUY 19,500 @ 76.9914</t>
        </is>
      </c>
      <c r="I19" s="4" t="inlineStr">
        <is>
          <t>(missing)</t>
        </is>
      </c>
      <c r="J19" s="4" t="n"/>
      <c r="K19" s="7" t="n">
        <v>1501332.3</v>
      </c>
      <c r="L19" s="12" t="n">
        <v>46289</v>
      </c>
      <c r="M19" s="4" t="n">
        <v>9</v>
      </c>
      <c r="N19" s="4" t="inlineStr">
        <is>
          <t>6-10d</t>
        </is>
      </c>
      <c r="O19" s="4" t="inlineStr">
        <is>
          <t>HIGH</t>
        </is>
      </c>
      <c r="P19" s="13" t="inlineStr">
        <is>
          <t>Trade exists on the platform but not at the custodian.</t>
        </is>
      </c>
      <c r="Q19" s="13" t="inlineStr">
        <is>
          <t>Confirm trade with counterparty; check allocation and send trade to custodian.</t>
        </is>
      </c>
    </row>
    <row r="20">
      <c r="A20" s="4" t="inlineStr">
        <is>
          <t>BRK-20261007-0019</t>
        </is>
      </c>
      <c r="B20" s="4" t="inlineStr">
        <is>
          <t>TRADE</t>
        </is>
      </c>
      <c r="C20" s="4" t="inlineStr">
        <is>
          <t>TRADE_MISSING_IN_INTERNAL</t>
        </is>
      </c>
      <c r="D20" s="4" t="inlineStr">
        <is>
          <t>Trade Accounting &amp; Operation</t>
        </is>
      </c>
      <c r="E20" s="4" t="inlineStr">
        <is>
          <t>FUND_ALPHA</t>
        </is>
      </c>
      <c r="F20" s="4" t="inlineStr">
        <is>
          <t>SEC011</t>
        </is>
      </c>
      <c r="G20" s="4" t="inlineStr">
        <is>
          <t>TRD90001</t>
        </is>
      </c>
      <c r="H20" s="4" t="inlineStr">
        <is>
          <t>(missing)</t>
        </is>
      </c>
      <c r="I20" s="4" t="inlineStr">
        <is>
          <t>SELL 3,800 @ 391.9242</t>
        </is>
      </c>
      <c r="J20" s="4" t="n"/>
      <c r="K20" s="7" t="n">
        <v>1489311.96</v>
      </c>
      <c r="L20" s="12" t="n">
        <v>46288</v>
      </c>
      <c r="M20" s="4" t="n">
        <v>10</v>
      </c>
      <c r="N20" s="4" t="inlineStr">
        <is>
          <t>6-10d</t>
        </is>
      </c>
      <c r="O20" s="4" t="inlineStr">
        <is>
          <t>HIGH</t>
        </is>
      </c>
      <c r="P20" s="13" t="inlineStr">
        <is>
          <t>Trade exists at the custodian but not on the platform.</t>
        </is>
      </c>
      <c r="Q20" s="13" t="inlineStr">
        <is>
          <t>Check for unbooked trade or wrong account; book trade or reject with custodian.</t>
        </is>
      </c>
    </row>
    <row r="21">
      <c r="A21" s="4" t="inlineStr">
        <is>
          <t>BRK-20261007-0020</t>
        </is>
      </c>
      <c r="B21" s="4" t="inlineStr">
        <is>
          <t>TRADE</t>
        </is>
      </c>
      <c r="C21" s="4" t="inlineStr">
        <is>
          <t>TRADE_SETTLE_DATE_MISMATCH</t>
        </is>
      </c>
      <c r="D21" s="4" t="inlineStr">
        <is>
          <t>Trade Accounting &amp; Operation</t>
        </is>
      </c>
      <c r="E21" s="4" t="inlineStr">
        <is>
          <t>FUND_ALPHA</t>
        </is>
      </c>
      <c r="F21" s="4" t="inlineStr">
        <is>
          <t>SEC022</t>
        </is>
      </c>
      <c r="G21" s="4" t="inlineStr">
        <is>
          <t>TRD100076</t>
        </is>
      </c>
      <c r="H21" s="4" t="inlineStr">
        <is>
          <t>2026-10-01</t>
        </is>
      </c>
      <c r="I21" s="4" t="inlineStr">
        <is>
          <t>2026-10-02</t>
        </is>
      </c>
      <c r="J21" s="4" t="n"/>
      <c r="K21" s="7" t="n">
        <v>1353702.35</v>
      </c>
      <c r="L21" s="12" t="n">
        <v>46296</v>
      </c>
      <c r="M21" s="4" t="n">
        <v>4</v>
      </c>
      <c r="N21" s="4" t="inlineStr">
        <is>
          <t>2-5d</t>
        </is>
      </c>
      <c r="O21" s="4" t="inlineStr">
        <is>
          <t>HIGH</t>
        </is>
      </c>
      <c r="P21" s="13" t="inlineStr">
        <is>
          <t>Settlement dates disagree; risk of a settlement fail.</t>
        </is>
      </c>
      <c r="Q21" s="13" t="inlineStr">
        <is>
          <t>Check SSI and settlement instructions; align settle date to avoid a fail.</t>
        </is>
      </c>
    </row>
    <row r="22">
      <c r="A22" s="4" t="inlineStr">
        <is>
          <t>BRK-20261007-0021</t>
        </is>
      </c>
      <c r="B22" s="4" t="inlineStr">
        <is>
          <t>TRADE</t>
        </is>
      </c>
      <c r="C22" s="4" t="inlineStr">
        <is>
          <t>TRADE_SETTLE_DATE_MISMATCH</t>
        </is>
      </c>
      <c r="D22" s="4" t="inlineStr">
        <is>
          <t>Trade Accounting &amp; Operation</t>
        </is>
      </c>
      <c r="E22" s="4" t="inlineStr">
        <is>
          <t>FUND_ALPHA</t>
        </is>
      </c>
      <c r="F22" s="4" t="inlineStr">
        <is>
          <t>SEC012</t>
        </is>
      </c>
      <c r="G22" s="4" t="inlineStr">
        <is>
          <t>TRD100157</t>
        </is>
      </c>
      <c r="H22" s="4" t="inlineStr">
        <is>
          <t>2026-09-28</t>
        </is>
      </c>
      <c r="I22" s="4" t="inlineStr">
        <is>
          <t>2026-09-29</t>
        </is>
      </c>
      <c r="J22" s="4" t="n"/>
      <c r="K22" s="7" t="n">
        <v>759163.03</v>
      </c>
      <c r="L22" s="12" t="n">
        <v>46293</v>
      </c>
      <c r="M22" s="4" t="n">
        <v>7</v>
      </c>
      <c r="N22" s="4" t="inlineStr">
        <is>
          <t>6-10d</t>
        </is>
      </c>
      <c r="O22" s="4" t="inlineStr">
        <is>
          <t>HIGH</t>
        </is>
      </c>
      <c r="P22" s="13" t="inlineStr">
        <is>
          <t>Settlement dates disagree; risk of a settlement fail.</t>
        </is>
      </c>
      <c r="Q22" s="13" t="inlineStr">
        <is>
          <t>Check SSI and settlement instructions; align settle date to avoid a fail.</t>
        </is>
      </c>
    </row>
    <row r="23">
      <c r="A23" s="4" t="inlineStr">
        <is>
          <t>BRK-20261007-0022</t>
        </is>
      </c>
      <c r="B23" s="4" t="inlineStr">
        <is>
          <t>CASH</t>
        </is>
      </c>
      <c r="C23" s="4" t="inlineStr">
        <is>
          <t>CASH_BREAK_UPSTREAM_DRIVEN</t>
        </is>
      </c>
      <c r="D23" s="4" t="inlineStr">
        <is>
          <t>Trade Accounting &amp; Operation</t>
        </is>
      </c>
      <c r="E23" s="4" t="inlineStr">
        <is>
          <t>FUND_GAMMA</t>
        </is>
      </c>
      <c r="F23" s="4" t="n"/>
      <c r="G23" s="4" t="inlineStr">
        <is>
          <t>FUND_GAMMA|USD</t>
        </is>
      </c>
      <c r="H23" s="7" t="n">
        <v>-38465221.49</v>
      </c>
      <c r="I23" s="7" t="n">
        <v>-37885827.18</v>
      </c>
      <c r="J23" s="7" t="n">
        <v>-579394.3100000001</v>
      </c>
      <c r="K23" s="7" t="n">
        <v>579394.3100000024</v>
      </c>
      <c r="L23" s="12" t="n">
        <v>46302</v>
      </c>
      <c r="M23" s="4" t="n">
        <v>0</v>
      </c>
      <c r="N23" s="4" t="inlineStr">
        <is>
          <t>0-1d</t>
        </is>
      </c>
      <c r="O23" s="4" t="inlineStr">
        <is>
          <t>HIGH</t>
        </is>
      </c>
      <c r="P23" s="13" t="inlineStr">
        <is>
          <t>Fully explained by: trade breaks -532,021.12; margin breaks -42,558.19; unbooked dividends -4,815.00; residual -0.00</t>
        </is>
      </c>
      <c r="Q23" s="13" t="inlineStr">
        <is>
          <t>No separate action; clears when linked trade, margin and corporate action breaks clear.</t>
        </is>
      </c>
    </row>
    <row r="24">
      <c r="A24" s="4" t="inlineStr">
        <is>
          <t>BRK-20261007-0023</t>
        </is>
      </c>
      <c r="B24" s="4" t="inlineStr">
        <is>
          <t>TRADE</t>
        </is>
      </c>
      <c r="C24" s="4" t="inlineStr">
        <is>
          <t>TRADE_MISSING_IN_INTERNAL</t>
        </is>
      </c>
      <c r="D24" s="4" t="inlineStr">
        <is>
          <t>Trade Accounting &amp; Operation</t>
        </is>
      </c>
      <c r="E24" s="4" t="inlineStr">
        <is>
          <t>FUND_GAMMA</t>
        </is>
      </c>
      <c r="F24" s="4" t="inlineStr">
        <is>
          <t>SEC018</t>
        </is>
      </c>
      <c r="G24" s="4" t="inlineStr">
        <is>
          <t>TRD90000</t>
        </is>
      </c>
      <c r="H24" s="4" t="inlineStr">
        <is>
          <t>(missing)</t>
        </is>
      </c>
      <c r="I24" s="4" t="inlineStr">
        <is>
          <t>SELL 2,100 @ 226.0664</t>
        </is>
      </c>
      <c r="J24" s="4" t="n"/>
      <c r="K24" s="7" t="n">
        <v>474739.44</v>
      </c>
      <c r="L24" s="12" t="n">
        <v>46289</v>
      </c>
      <c r="M24" s="4" t="n">
        <v>9</v>
      </c>
      <c r="N24" s="4" t="inlineStr">
        <is>
          <t>6-10d</t>
        </is>
      </c>
      <c r="O24" s="4" t="inlineStr">
        <is>
          <t>MEDIUM</t>
        </is>
      </c>
      <c r="P24" s="13" t="inlineStr">
        <is>
          <t>Trade exists at the custodian but not on the platform.</t>
        </is>
      </c>
      <c r="Q24" s="13" t="inlineStr">
        <is>
          <t>Check for unbooked trade or wrong account; book trade or reject with custodian.</t>
        </is>
      </c>
    </row>
    <row r="25">
      <c r="A25" s="4" t="inlineStr">
        <is>
          <t>BRK-20261007-0024</t>
        </is>
      </c>
      <c r="B25" s="4" t="inlineStr">
        <is>
          <t>POSITION</t>
        </is>
      </c>
      <c r="C25" s="4" t="inlineStr">
        <is>
          <t>POSITION_BREAK_TRADE_DRIVEN</t>
        </is>
      </c>
      <c r="D25" s="4" t="inlineStr">
        <is>
          <t>Trade Accounting &amp; Operation</t>
        </is>
      </c>
      <c r="E25" s="4" t="inlineStr">
        <is>
          <t>FUND_GAMMA</t>
        </is>
      </c>
      <c r="F25" s="4" t="inlineStr">
        <is>
          <t>SEC018</t>
        </is>
      </c>
      <c r="G25" s="4" t="inlineStr">
        <is>
          <t>FUND_GAMMA|SEC018</t>
        </is>
      </c>
      <c r="H25" s="7" t="n">
        <v>40400</v>
      </c>
      <c r="I25" s="7" t="n">
        <v>38300</v>
      </c>
      <c r="J25" s="7" t="n">
        <v>2100</v>
      </c>
      <c r="K25" s="7" t="n">
        <v>474724.74</v>
      </c>
      <c r="L25" s="12" t="n">
        <v>46302</v>
      </c>
      <c r="M25" s="4" t="n">
        <v>0</v>
      </c>
      <c r="N25" s="4" t="inlineStr">
        <is>
          <t>0-1d</t>
        </is>
      </c>
      <c r="O25" s="4" t="inlineStr">
        <is>
          <t>MEDIUM</t>
        </is>
      </c>
      <c r="P25" s="13" t="inlineStr">
        <is>
          <t>Fully explained by trade break(s): TRD90000</t>
        </is>
      </c>
      <c r="Q25" s="13" t="inlineStr">
        <is>
          <t>No separate action; clears when the linked trade break is resolved.</t>
        </is>
      </c>
    </row>
    <row r="26">
      <c r="A26" s="4" t="inlineStr">
        <is>
          <t>BRK-20261007-0025</t>
        </is>
      </c>
      <c r="B26" s="4" t="inlineStr">
        <is>
          <t>TRADE</t>
        </is>
      </c>
      <c r="C26" s="4" t="inlineStr">
        <is>
          <t>TRADE_MISSING_IN_INTERNAL</t>
        </is>
      </c>
      <c r="D26" s="4" t="inlineStr">
        <is>
          <t>Trade Accounting &amp; Operation</t>
        </is>
      </c>
      <c r="E26" s="4" t="inlineStr">
        <is>
          <t>FUND_ALPHA</t>
        </is>
      </c>
      <c r="F26" s="4" t="inlineStr">
        <is>
          <t>SEC019</t>
        </is>
      </c>
      <c r="G26" s="4" t="inlineStr">
        <is>
          <t>TRD90002</t>
        </is>
      </c>
      <c r="H26" s="4" t="inlineStr">
        <is>
          <t>(missing)</t>
        </is>
      </c>
      <c r="I26" s="4" t="inlineStr">
        <is>
          <t>BUY 3,600 @ 101.9549</t>
        </is>
      </c>
      <c r="J26" s="4" t="n"/>
      <c r="K26" s="7" t="n">
        <v>367037.64</v>
      </c>
      <c r="L26" s="12" t="n">
        <v>46297</v>
      </c>
      <c r="M26" s="4" t="n">
        <v>3</v>
      </c>
      <c r="N26" s="4" t="inlineStr">
        <is>
          <t>2-5d</t>
        </is>
      </c>
      <c r="O26" s="4" t="inlineStr">
        <is>
          <t>MEDIUM</t>
        </is>
      </c>
      <c r="P26" s="13" t="inlineStr">
        <is>
          <t>Trade exists at the custodian but not on the platform.</t>
        </is>
      </c>
      <c r="Q26" s="13" t="inlineStr">
        <is>
          <t>Check for unbooked trade or wrong account; book trade or reject with custodian.</t>
        </is>
      </c>
    </row>
    <row r="27">
      <c r="A27" s="4" t="inlineStr">
        <is>
          <t>BRK-20261007-0026</t>
        </is>
      </c>
      <c r="B27" s="4" t="inlineStr">
        <is>
          <t>POSITION</t>
        </is>
      </c>
      <c r="C27" s="4" t="inlineStr">
        <is>
          <t>POSITION_BREAK_TRADE_DRIVEN</t>
        </is>
      </c>
      <c r="D27" s="4" t="inlineStr">
        <is>
          <t>Trade Accounting &amp; Operation</t>
        </is>
      </c>
      <c r="E27" s="4" t="inlineStr">
        <is>
          <t>FUND_ALPHA</t>
        </is>
      </c>
      <c r="F27" s="4" t="inlineStr">
        <is>
          <t>SEC019</t>
        </is>
      </c>
      <c r="G27" s="4" t="inlineStr">
        <is>
          <t>FUND_ALPHA|SEC019</t>
        </is>
      </c>
      <c r="H27" s="7" t="n">
        <v>68000</v>
      </c>
      <c r="I27" s="7" t="n">
        <v>71500</v>
      </c>
      <c r="J27" s="7" t="n">
        <v>-3500</v>
      </c>
      <c r="K27" s="7" t="n">
        <v>356841.45</v>
      </c>
      <c r="L27" s="12" t="n">
        <v>46302</v>
      </c>
      <c r="M27" s="4" t="n">
        <v>0</v>
      </c>
      <c r="N27" s="4" t="inlineStr">
        <is>
          <t>0-1d</t>
        </is>
      </c>
      <c r="O27" s="4" t="inlineStr">
        <is>
          <t>MEDIUM</t>
        </is>
      </c>
      <c r="P27" s="13" t="inlineStr">
        <is>
          <t>Fully explained by trade break(s): TRD100230, TRD100284, TRD90002</t>
        </is>
      </c>
      <c r="Q27" s="13" t="inlineStr">
        <is>
          <t>No separate action; clears when the linked trade break is resolved.</t>
        </is>
      </c>
    </row>
    <row r="28">
      <c r="A28" s="4" t="inlineStr">
        <is>
          <t>BRK-20261007-0027</t>
        </is>
      </c>
      <c r="B28" s="4" t="inlineStr">
        <is>
          <t>PRICING</t>
        </is>
      </c>
      <c r="C28" s="4" t="inlineStr">
        <is>
          <t>PRICING_VARIANCE</t>
        </is>
      </c>
      <c r="D28" s="4" t="inlineStr">
        <is>
          <t>Pricing</t>
        </is>
      </c>
      <c r="E28" s="4" t="n"/>
      <c r="F28" s="4" t="inlineStr">
        <is>
          <t>SEC021</t>
        </is>
      </c>
      <c r="G28" s="4" t="inlineStr">
        <is>
          <t>SEC021</t>
        </is>
      </c>
      <c r="H28" s="7" t="n">
        <v>97.19580000000001</v>
      </c>
      <c r="I28" s="7" t="n">
        <v>95.4449</v>
      </c>
      <c r="J28" s="7" t="n">
        <v>1.7509</v>
      </c>
      <c r="K28" s="7" t="n">
        <v>226216.2800000002</v>
      </c>
      <c r="L28" s="12" t="n">
        <v>46302</v>
      </c>
      <c r="M28" s="4" t="n">
        <v>0</v>
      </c>
      <c r="N28" s="4" t="inlineStr">
        <is>
          <t>0-1d</t>
        </is>
      </c>
      <c r="O28" s="4" t="inlineStr">
        <is>
          <t>MEDIUM</t>
        </is>
      </c>
      <c r="P28" s="13" t="inlineStr">
        <is>
          <t>Platform vs street differs by +183.4 bps (tolerance 25 bps, FIXED_INCOME).</t>
        </is>
      </c>
      <c r="Q28" s="13" t="inlineStr">
        <is>
          <t>Compare vendor and street source; challenge or override with documented support.</t>
        </is>
      </c>
    </row>
    <row r="29">
      <c r="A29" s="4" t="inlineStr">
        <is>
          <t>BRK-20261007-0028</t>
        </is>
      </c>
      <c r="B29" s="4" t="inlineStr">
        <is>
          <t>PRICING</t>
        </is>
      </c>
      <c r="C29" s="4" t="inlineStr">
        <is>
          <t>PRICING_VARIANCE</t>
        </is>
      </c>
      <c r="D29" s="4" t="inlineStr">
        <is>
          <t>Pricing</t>
        </is>
      </c>
      <c r="E29" s="4" t="n"/>
      <c r="F29" s="4" t="inlineStr">
        <is>
          <t>SEC002</t>
        </is>
      </c>
      <c r="G29" s="4" t="inlineStr">
        <is>
          <t>SEC002</t>
        </is>
      </c>
      <c r="H29" s="7" t="n">
        <v>346.8085</v>
      </c>
      <c r="I29" s="7" t="n">
        <v>351.109</v>
      </c>
      <c r="J29" s="7" t="n">
        <v>-4.3005</v>
      </c>
      <c r="K29" s="7" t="n">
        <v>218035.35</v>
      </c>
      <c r="L29" s="12" t="n">
        <v>46302</v>
      </c>
      <c r="M29" s="4" t="n">
        <v>0</v>
      </c>
      <c r="N29" s="4" t="inlineStr">
        <is>
          <t>0-1d</t>
        </is>
      </c>
      <c r="O29" s="4" t="inlineStr">
        <is>
          <t>MEDIUM</t>
        </is>
      </c>
      <c r="P29" s="13" t="inlineStr">
        <is>
          <t>Platform vs street differs by -122.5 bps (tolerance 10 bps, EQUITY).</t>
        </is>
      </c>
      <c r="Q29" s="13" t="inlineStr">
        <is>
          <t>Compare vendor and street source; challenge or override with documented support.</t>
        </is>
      </c>
    </row>
    <row r="30">
      <c r="A30" s="4" t="inlineStr">
        <is>
          <t>BRK-20261007-0029</t>
        </is>
      </c>
      <c r="B30" s="4" t="inlineStr">
        <is>
          <t>TRADE</t>
        </is>
      </c>
      <c r="C30" s="4" t="inlineStr">
        <is>
          <t>TRADE_MISSING_IN_INTERNAL</t>
        </is>
      </c>
      <c r="D30" s="4" t="inlineStr">
        <is>
          <t>Trade Accounting &amp; Operation</t>
        </is>
      </c>
      <c r="E30" s="4" t="inlineStr">
        <is>
          <t>FUND_BETA</t>
        </is>
      </c>
      <c r="F30" s="4" t="inlineStr">
        <is>
          <t>SEC005</t>
        </is>
      </c>
      <c r="G30" s="4" t="inlineStr">
        <is>
          <t>TRD90003</t>
        </is>
      </c>
      <c r="H30" s="4" t="inlineStr">
        <is>
          <t>(missing)</t>
        </is>
      </c>
      <c r="I30" s="4" t="inlineStr">
        <is>
          <t>SELL 3,400 @ 42.5156</t>
        </is>
      </c>
      <c r="J30" s="4" t="n"/>
      <c r="K30" s="7" t="n">
        <v>144553.04</v>
      </c>
      <c r="L30" s="12" t="n">
        <v>46290</v>
      </c>
      <c r="M30" s="4" t="n">
        <v>8</v>
      </c>
      <c r="N30" s="4" t="inlineStr">
        <is>
          <t>6-10d</t>
        </is>
      </c>
      <c r="O30" s="4" t="inlineStr">
        <is>
          <t>MEDIUM</t>
        </is>
      </c>
      <c r="P30" s="13" t="inlineStr">
        <is>
          <t>Trade exists at the custodian but not on the platform.</t>
        </is>
      </c>
      <c r="Q30" s="13" t="inlineStr">
        <is>
          <t>Check for unbooked trade or wrong account; book trade or reject with custodian.</t>
        </is>
      </c>
    </row>
    <row r="31">
      <c r="A31" s="4" t="inlineStr">
        <is>
          <t>BRK-20261007-0030</t>
        </is>
      </c>
      <c r="B31" s="4" t="inlineStr">
        <is>
          <t>POSITION</t>
        </is>
      </c>
      <c r="C31" s="4" t="inlineStr">
        <is>
          <t>POSITION_BREAK_TRADE_DRIVEN</t>
        </is>
      </c>
      <c r="D31" s="4" t="inlineStr">
        <is>
          <t>Trade Accounting &amp; Operation</t>
        </is>
      </c>
      <c r="E31" s="4" t="inlineStr">
        <is>
          <t>FUND_BETA</t>
        </is>
      </c>
      <c r="F31" s="4" t="inlineStr">
        <is>
          <t>SEC005</t>
        </is>
      </c>
      <c r="G31" s="4" t="inlineStr">
        <is>
          <t>FUND_BETA|SEC005</t>
        </is>
      </c>
      <c r="H31" s="7" t="n">
        <v>9600</v>
      </c>
      <c r="I31" s="7" t="n">
        <v>6200</v>
      </c>
      <c r="J31" s="7" t="n">
        <v>3400</v>
      </c>
      <c r="K31" s="7" t="n">
        <v>144544.2</v>
      </c>
      <c r="L31" s="12" t="n">
        <v>46302</v>
      </c>
      <c r="M31" s="4" t="n">
        <v>0</v>
      </c>
      <c r="N31" s="4" t="inlineStr">
        <is>
          <t>0-1d</t>
        </is>
      </c>
      <c r="O31" s="4" t="inlineStr">
        <is>
          <t>MEDIUM</t>
        </is>
      </c>
      <c r="P31" s="13" t="inlineStr">
        <is>
          <t>Fully explained by trade break(s): TRD90003</t>
        </is>
      </c>
      <c r="Q31" s="13" t="inlineStr">
        <is>
          <t>No separate action; clears when the linked trade break is resolved.</t>
        </is>
      </c>
    </row>
    <row r="32">
      <c r="A32" s="4" t="inlineStr">
        <is>
          <t>BRK-20261007-0031</t>
        </is>
      </c>
      <c r="B32" s="4" t="inlineStr">
        <is>
          <t>PRICING</t>
        </is>
      </c>
      <c r="C32" s="4" t="inlineStr">
        <is>
          <t>PRICING_STALE</t>
        </is>
      </c>
      <c r="D32" s="4" t="inlineStr">
        <is>
          <t>Pricing</t>
        </is>
      </c>
      <c r="E32" s="4" t="n"/>
      <c r="F32" s="4" t="inlineStr">
        <is>
          <t>SEC016</t>
        </is>
      </c>
      <c r="G32" s="4" t="inlineStr">
        <is>
          <t>SEC016</t>
        </is>
      </c>
      <c r="H32" s="7" t="n">
        <v>80.8847</v>
      </c>
      <c r="I32" s="7" t="n">
        <v>82.3837</v>
      </c>
      <c r="J32" s="7" t="n">
        <v>-1.499</v>
      </c>
      <c r="K32" s="7" t="n">
        <v>131912.0000000008</v>
      </c>
      <c r="L32" s="12" t="n">
        <v>46302</v>
      </c>
      <c r="M32" s="4" t="n">
        <v>0</v>
      </c>
      <c r="N32" s="4" t="inlineStr">
        <is>
          <t>0-1d</t>
        </is>
      </c>
      <c r="O32" s="4" t="inlineStr">
        <is>
          <t>MEDIUM</t>
        </is>
      </c>
      <c r="P32" s="13" t="inlineStr">
        <is>
          <t>Platform price equals prior-day price; street moved 185 bps.</t>
        </is>
      </c>
      <c r="Q32" s="13" t="inlineStr">
        <is>
          <t>Price not refreshed since prior day; re-pull the price feed and revalue.</t>
        </is>
      </c>
    </row>
    <row r="33">
      <c r="A33" s="4" t="inlineStr">
        <is>
          <t>BRK-20261007-0032</t>
        </is>
      </c>
      <c r="B33" s="4" t="inlineStr">
        <is>
          <t>TRADE</t>
        </is>
      </c>
      <c r="C33" s="4" t="inlineStr">
        <is>
          <t>TRADE_PRICE_MISMATCH</t>
        </is>
      </c>
      <c r="D33" s="4" t="inlineStr">
        <is>
          <t>Trade Accounting &amp; Operation</t>
        </is>
      </c>
      <c r="E33" s="4" t="inlineStr">
        <is>
          <t>FUND_ALPHA</t>
        </is>
      </c>
      <c r="F33" s="4" t="inlineStr">
        <is>
          <t>SEC011</t>
        </is>
      </c>
      <c r="G33" s="4" t="inlineStr">
        <is>
          <t>TRD100089</t>
        </is>
      </c>
      <c r="H33" s="7" t="n">
        <v>393.472</v>
      </c>
      <c r="I33" s="7" t="n">
        <v>386.8956</v>
      </c>
      <c r="J33" s="7" t="n">
        <v>6.5764</v>
      </c>
      <c r="K33" s="7" t="n">
        <v>129555.0799999996</v>
      </c>
      <c r="L33" s="12" t="n">
        <v>46289</v>
      </c>
      <c r="M33" s="4" t="n">
        <v>9</v>
      </c>
      <c r="N33" s="4" t="inlineStr">
        <is>
          <t>6-10d</t>
        </is>
      </c>
      <c r="O33" s="4" t="inlineStr">
        <is>
          <t>MEDIUM</t>
        </is>
      </c>
      <c r="P33" s="13" t="inlineStr">
        <is>
          <t>Price differs by 170.0 bps (tolerance 1.0 bps).</t>
        </is>
      </c>
      <c r="Q33" s="13" t="inlineStr">
        <is>
          <t>Obtain broker confirm; correct price and book the P&amp;L / cash adjustment.</t>
        </is>
      </c>
    </row>
    <row r="34">
      <c r="A34" s="4" t="inlineStr">
        <is>
          <t>BRK-20261007-0033</t>
        </is>
      </c>
      <c r="B34" s="4" t="inlineStr">
        <is>
          <t>MARGIN</t>
        </is>
      </c>
      <c r="C34" s="4" t="inlineStr">
        <is>
          <t>MARGIN_MISSING_IN_INTERNAL</t>
        </is>
      </c>
      <c r="D34" s="4" t="inlineStr">
        <is>
          <t>Treasury</t>
        </is>
      </c>
      <c r="E34" s="4" t="inlineStr">
        <is>
          <t>FUND_GAMMA</t>
        </is>
      </c>
      <c r="F34" s="4" t="n"/>
      <c r="G34" s="4" t="inlineStr">
        <is>
          <t>MRG9001</t>
        </is>
      </c>
      <c r="H34" s="4" t="inlineStr">
        <is>
          <t>(missing)</t>
        </is>
      </c>
      <c r="I34" s="7" t="n">
        <v>120000</v>
      </c>
      <c r="J34" s="4" t="n"/>
      <c r="K34" s="7" t="n">
        <v>120000</v>
      </c>
      <c r="L34" s="12" t="n">
        <v>46302</v>
      </c>
      <c r="M34" s="4" t="n">
        <v>0</v>
      </c>
      <c r="N34" s="4" t="inlineStr">
        <is>
          <t>0-1d</t>
        </is>
      </c>
      <c r="O34" s="4" t="inlineStr">
        <is>
          <t>MEDIUM</t>
        </is>
      </c>
      <c r="P34" s="13" t="inlineStr">
        <is>
          <t>Margin movement with Harbor Prime not booked on the platform.</t>
        </is>
      </c>
      <c r="Q34" s="13" t="inlineStr">
        <is>
          <t>Confirm margin call received; book the movement if valid.</t>
        </is>
      </c>
    </row>
    <row r="35">
      <c r="A35" s="4" t="inlineStr">
        <is>
          <t>BRK-20261007-0034</t>
        </is>
      </c>
      <c r="B35" s="4" t="inlineStr">
        <is>
          <t>TRADE</t>
        </is>
      </c>
      <c r="C35" s="4" t="inlineStr">
        <is>
          <t>TRADE_MISSING_IN_CUSTODIAN</t>
        </is>
      </c>
      <c r="D35" s="4" t="inlineStr">
        <is>
          <t>Trade Accounting &amp; Operation</t>
        </is>
      </c>
      <c r="E35" s="4" t="inlineStr">
        <is>
          <t>FUND_BETA</t>
        </is>
      </c>
      <c r="F35" s="4" t="inlineStr">
        <is>
          <t>SEC003</t>
        </is>
      </c>
      <c r="G35" s="4" t="inlineStr">
        <is>
          <t>TRD100042</t>
        </is>
      </c>
      <c r="H35" s="4" t="inlineStr">
        <is>
          <t>BUY 700 @ 156.8701</t>
        </is>
      </c>
      <c r="I35" s="4" t="inlineStr">
        <is>
          <t>(missing)</t>
        </is>
      </c>
      <c r="J35" s="4" t="n"/>
      <c r="K35" s="7" t="n">
        <v>109809.07</v>
      </c>
      <c r="L35" s="12" t="n">
        <v>46297</v>
      </c>
      <c r="M35" s="4" t="n">
        <v>3</v>
      </c>
      <c r="N35" s="4" t="inlineStr">
        <is>
          <t>2-5d</t>
        </is>
      </c>
      <c r="O35" s="4" t="inlineStr">
        <is>
          <t>MEDIUM</t>
        </is>
      </c>
      <c r="P35" s="13" t="inlineStr">
        <is>
          <t>Trade exists on the platform but not at the custodian.</t>
        </is>
      </c>
      <c r="Q35" s="13" t="inlineStr">
        <is>
          <t>Confirm trade with counterparty; check allocation and send trade to custodian.</t>
        </is>
      </c>
    </row>
    <row r="36">
      <c r="A36" s="4" t="inlineStr">
        <is>
          <t>BRK-20261007-0035</t>
        </is>
      </c>
      <c r="B36" s="4" t="inlineStr">
        <is>
          <t>TRADE</t>
        </is>
      </c>
      <c r="C36" s="4" t="inlineStr">
        <is>
          <t>TRADE_QTY_MISMATCH</t>
        </is>
      </c>
      <c r="D36" s="4" t="inlineStr">
        <is>
          <t>Trade Accounting &amp; Operation</t>
        </is>
      </c>
      <c r="E36" s="4" t="inlineStr">
        <is>
          <t>FUND_BETA</t>
        </is>
      </c>
      <c r="F36" s="4" t="inlineStr">
        <is>
          <t>SEC020</t>
        </is>
      </c>
      <c r="G36" s="4" t="inlineStr">
        <is>
          <t>TRD100083</t>
        </is>
      </c>
      <c r="H36" s="7" t="n">
        <v>4000</v>
      </c>
      <c r="I36" s="7" t="n">
        <v>3100</v>
      </c>
      <c r="J36" s="7" t="n">
        <v>900</v>
      </c>
      <c r="K36" s="7" t="n">
        <v>96886.70999999999</v>
      </c>
      <c r="L36" s="12" t="n">
        <v>46294</v>
      </c>
      <c r="M36" s="4" t="n">
        <v>6</v>
      </c>
      <c r="N36" s="4" t="inlineStr">
        <is>
          <t>6-10d</t>
        </is>
      </c>
      <c r="O36" s="4" t="inlineStr">
        <is>
          <t>MEDIUM</t>
        </is>
      </c>
      <c r="P36" s="13" t="inlineStr">
        <is>
          <t>Quantity differs by 900.</t>
        </is>
      </c>
      <c r="Q36" s="13" t="inlineStr">
        <is>
          <t>Obtain broker confirm; correct quantity on the side that disagrees.</t>
        </is>
      </c>
    </row>
    <row r="37">
      <c r="A37" s="4" t="inlineStr">
        <is>
          <t>BRK-20261007-0036</t>
        </is>
      </c>
      <c r="B37" s="4" t="inlineStr">
        <is>
          <t>TRADE</t>
        </is>
      </c>
      <c r="C37" s="4" t="inlineStr">
        <is>
          <t>TRADE_PRICE_MISMATCH</t>
        </is>
      </c>
      <c r="D37" s="4" t="inlineStr">
        <is>
          <t>Trade Accounting &amp; Operation</t>
        </is>
      </c>
      <c r="E37" s="4" t="inlineStr">
        <is>
          <t>FUND_ALPHA</t>
        </is>
      </c>
      <c r="F37" s="4" t="inlineStr">
        <is>
          <t>SEC012</t>
        </is>
      </c>
      <c r="G37" s="4" t="inlineStr">
        <is>
          <t>TRD100056</t>
        </is>
      </c>
      <c r="H37" s="7" t="n">
        <v>242.8528</v>
      </c>
      <c r="I37" s="7" t="n">
        <v>238.0794</v>
      </c>
      <c r="J37" s="7" t="n">
        <v>4.7734</v>
      </c>
      <c r="K37" s="7" t="n">
        <v>84966.52000000016</v>
      </c>
      <c r="L37" s="12" t="n">
        <v>46302</v>
      </c>
      <c r="M37" s="4" t="n">
        <v>0</v>
      </c>
      <c r="N37" s="4" t="inlineStr">
        <is>
          <t>0-1d</t>
        </is>
      </c>
      <c r="O37" s="4" t="inlineStr">
        <is>
          <t>MEDIUM</t>
        </is>
      </c>
      <c r="P37" s="13" t="inlineStr">
        <is>
          <t>Price differs by 200.5 bps (tolerance 1.0 bps).</t>
        </is>
      </c>
      <c r="Q37" s="13" t="inlineStr">
        <is>
          <t>Obtain broker confirm; correct price and book the P&amp;L / cash adjustment.</t>
        </is>
      </c>
    </row>
    <row r="38">
      <c r="A38" s="4" t="inlineStr">
        <is>
          <t>BRK-20261007-0037</t>
        </is>
      </c>
      <c r="B38" s="4" t="inlineStr">
        <is>
          <t>TRADE</t>
        </is>
      </c>
      <c r="C38" s="4" t="inlineStr">
        <is>
          <t>TRADE_QTY_MISMATCH</t>
        </is>
      </c>
      <c r="D38" s="4" t="inlineStr">
        <is>
          <t>Trade Accounting &amp; Operation</t>
        </is>
      </c>
      <c r="E38" s="4" t="inlineStr">
        <is>
          <t>FUND_BETA</t>
        </is>
      </c>
      <c r="F38" s="4" t="inlineStr">
        <is>
          <t>SEC003</t>
        </is>
      </c>
      <c r="G38" s="4" t="inlineStr">
        <is>
          <t>TRD100166</t>
        </is>
      </c>
      <c r="H38" s="7" t="n">
        <v>16100</v>
      </c>
      <c r="I38" s="7" t="n">
        <v>15600</v>
      </c>
      <c r="J38" s="7" t="n">
        <v>500</v>
      </c>
      <c r="K38" s="7" t="n">
        <v>79324.65000000001</v>
      </c>
      <c r="L38" s="12" t="n">
        <v>46302</v>
      </c>
      <c r="M38" s="4" t="n">
        <v>0</v>
      </c>
      <c r="N38" s="4" t="inlineStr">
        <is>
          <t>0-1d</t>
        </is>
      </c>
      <c r="O38" s="4" t="inlineStr">
        <is>
          <t>MEDIUM</t>
        </is>
      </c>
      <c r="P38" s="13" t="inlineStr">
        <is>
          <t>Quantity differs by 500.</t>
        </is>
      </c>
      <c r="Q38" s="13" t="inlineStr">
        <is>
          <t>Obtain broker confirm; correct quantity on the side that disagrees.</t>
        </is>
      </c>
    </row>
    <row r="39">
      <c r="A39" s="4" t="inlineStr">
        <is>
          <t>BRK-20261007-0038</t>
        </is>
      </c>
      <c r="B39" s="4" t="inlineStr">
        <is>
          <t>MARGIN</t>
        </is>
      </c>
      <c r="C39" s="4" t="inlineStr">
        <is>
          <t>MARGIN_MISSING_IN_CUSTODIAN</t>
        </is>
      </c>
      <c r="D39" s="4" t="inlineStr">
        <is>
          <t>Treasury</t>
        </is>
      </c>
      <c r="E39" s="4" t="inlineStr">
        <is>
          <t>FUND_GAMMA</t>
        </is>
      </c>
      <c r="F39" s="4" t="n"/>
      <c r="G39" s="4" t="inlineStr">
        <is>
          <t>MRG1000</t>
        </is>
      </c>
      <c r="H39" s="7" t="n">
        <v>77441.81</v>
      </c>
      <c r="I39" s="4" t="inlineStr">
        <is>
          <t>(missing)</t>
        </is>
      </c>
      <c r="J39" s="4" t="n"/>
      <c r="K39" s="7" t="n">
        <v>77441.81</v>
      </c>
      <c r="L39" s="12" t="n">
        <v>46296</v>
      </c>
      <c r="M39" s="4" t="n">
        <v>4</v>
      </c>
      <c r="N39" s="4" t="inlineStr">
        <is>
          <t>2-5d</t>
        </is>
      </c>
      <c r="O39" s="4" t="inlineStr">
        <is>
          <t>MEDIUM</t>
        </is>
      </c>
      <c r="P39" s="13" t="inlineStr">
        <is>
          <t>Margin movement with Atlas Markets not found at the custodian.</t>
        </is>
      </c>
      <c r="Q39" s="13" t="inlineStr">
        <is>
          <t>Confirm margin call with counterparty; check whether the movement was sent or settled.</t>
        </is>
      </c>
    </row>
    <row r="40">
      <c r="A40" s="4" t="inlineStr">
        <is>
          <t>BRK-20261007-0039</t>
        </is>
      </c>
      <c r="B40" s="4" t="inlineStr">
        <is>
          <t>POSITION</t>
        </is>
      </c>
      <c r="C40" s="4" t="inlineStr">
        <is>
          <t>POSITION_BREAK_TRADE_DRIVEN</t>
        </is>
      </c>
      <c r="D40" s="4" t="inlineStr">
        <is>
          <t>Trade Accounting &amp; Operation</t>
        </is>
      </c>
      <c r="E40" s="4" t="inlineStr">
        <is>
          <t>FUND_BETA</t>
        </is>
      </c>
      <c r="F40" s="4" t="inlineStr">
        <is>
          <t>SEC020</t>
        </is>
      </c>
      <c r="G40" s="4" t="inlineStr">
        <is>
          <t>FUND_BETA|SEC020</t>
        </is>
      </c>
      <c r="H40" s="7" t="n">
        <v>-21100</v>
      </c>
      <c r="I40" s="7" t="n">
        <v>-20500</v>
      </c>
      <c r="J40" s="7" t="n">
        <v>-600</v>
      </c>
      <c r="K40" s="7" t="n">
        <v>64694.1</v>
      </c>
      <c r="L40" s="12" t="n">
        <v>46302</v>
      </c>
      <c r="M40" s="4" t="n">
        <v>0</v>
      </c>
      <c r="N40" s="4" t="inlineStr">
        <is>
          <t>0-1d</t>
        </is>
      </c>
      <c r="O40" s="4" t="inlineStr">
        <is>
          <t>MEDIUM</t>
        </is>
      </c>
      <c r="P40" s="13" t="inlineStr">
        <is>
          <t>Fully explained by trade break(s): TRD100083, TRD100153</t>
        </is>
      </c>
      <c r="Q40" s="13" t="inlineStr">
        <is>
          <t>No separate action; clears when the linked trade break is resolved.</t>
        </is>
      </c>
    </row>
    <row r="41">
      <c r="A41" s="4" t="inlineStr">
        <is>
          <t>BRK-20261007-0040</t>
        </is>
      </c>
      <c r="B41" s="4" t="inlineStr">
        <is>
          <t>TRADE</t>
        </is>
      </c>
      <c r="C41" s="4" t="inlineStr">
        <is>
          <t>TRADE_MISSING_IN_CUSTODIAN</t>
        </is>
      </c>
      <c r="D41" s="4" t="inlineStr">
        <is>
          <t>Trade Accounting &amp; Operation</t>
        </is>
      </c>
      <c r="E41" s="4" t="inlineStr">
        <is>
          <t>FUND_ALPHA</t>
        </is>
      </c>
      <c r="F41" s="4" t="inlineStr">
        <is>
          <t>SEC019</t>
        </is>
      </c>
      <c r="G41" s="4" t="inlineStr">
        <is>
          <t>TRD100284</t>
        </is>
      </c>
      <c r="H41" s="4" t="inlineStr">
        <is>
          <t>BUY 600 @ 102.1778</t>
        </is>
      </c>
      <c r="I41" s="4" t="inlineStr">
        <is>
          <t>(missing)</t>
        </is>
      </c>
      <c r="J41" s="4" t="n"/>
      <c r="K41" s="7" t="n">
        <v>61306.68</v>
      </c>
      <c r="L41" s="12" t="n">
        <v>46302</v>
      </c>
      <c r="M41" s="4" t="n">
        <v>0</v>
      </c>
      <c r="N41" s="4" t="inlineStr">
        <is>
          <t>0-1d</t>
        </is>
      </c>
      <c r="O41" s="4" t="inlineStr">
        <is>
          <t>MEDIUM</t>
        </is>
      </c>
      <c r="P41" s="13" t="inlineStr">
        <is>
          <t>Trade exists on the platform but not at the custodian.</t>
        </is>
      </c>
      <c r="Q41" s="13" t="inlineStr">
        <is>
          <t>Confirm trade with counterparty; check allocation and send trade to custodian.</t>
        </is>
      </c>
    </row>
    <row r="42">
      <c r="A42" s="4" t="inlineStr">
        <is>
          <t>BRK-20261007-0041</t>
        </is>
      </c>
      <c r="B42" s="4" t="inlineStr">
        <is>
          <t>TRADE</t>
        </is>
      </c>
      <c r="C42" s="4" t="inlineStr">
        <is>
          <t>TRADE_QTY_MISMATCH</t>
        </is>
      </c>
      <c r="D42" s="4" t="inlineStr">
        <is>
          <t>Trade Accounting &amp; Operation</t>
        </is>
      </c>
      <c r="E42" s="4" t="inlineStr">
        <is>
          <t>FUND_ALPHA</t>
        </is>
      </c>
      <c r="F42" s="4" t="inlineStr">
        <is>
          <t>SEC019</t>
        </is>
      </c>
      <c r="G42" s="4" t="inlineStr">
        <is>
          <t>TRD100230</t>
        </is>
      </c>
      <c r="H42" s="7" t="n">
        <v>19900</v>
      </c>
      <c r="I42" s="7" t="n">
        <v>20400</v>
      </c>
      <c r="J42" s="7" t="n">
        <v>-500</v>
      </c>
      <c r="K42" s="7" t="n">
        <v>50923.3</v>
      </c>
      <c r="L42" s="12" t="n">
        <v>46300</v>
      </c>
      <c r="M42" s="4" t="n">
        <v>2</v>
      </c>
      <c r="N42" s="4" t="inlineStr">
        <is>
          <t>2-5d</t>
        </is>
      </c>
      <c r="O42" s="4" t="inlineStr">
        <is>
          <t>MEDIUM</t>
        </is>
      </c>
      <c r="P42" s="13" t="inlineStr">
        <is>
          <t>Quantity differs by 500.</t>
        </is>
      </c>
      <c r="Q42" s="13" t="inlineStr">
        <is>
          <t>Obtain broker confirm; correct quantity on the side that disagrees.</t>
        </is>
      </c>
    </row>
    <row r="43">
      <c r="A43" s="4" t="inlineStr">
        <is>
          <t>BRK-20261007-0042</t>
        </is>
      </c>
      <c r="B43" s="4" t="inlineStr">
        <is>
          <t>TRADE</t>
        </is>
      </c>
      <c r="C43" s="4" t="inlineStr">
        <is>
          <t>TRADE_QTY_MISMATCH</t>
        </is>
      </c>
      <c r="D43" s="4" t="inlineStr">
        <is>
          <t>Trade Accounting &amp; Operation</t>
        </is>
      </c>
      <c r="E43" s="4" t="inlineStr">
        <is>
          <t>FUND_BETA</t>
        </is>
      </c>
      <c r="F43" s="4" t="inlineStr">
        <is>
          <t>SEC016</t>
        </is>
      </c>
      <c r="G43" s="4" t="inlineStr">
        <is>
          <t>TRD100058</t>
        </is>
      </c>
      <c r="H43" s="7" t="n">
        <v>18400</v>
      </c>
      <c r="I43" s="7" t="n">
        <v>19000</v>
      </c>
      <c r="J43" s="7" t="n">
        <v>-600</v>
      </c>
      <c r="K43" s="7" t="n">
        <v>49406.28</v>
      </c>
      <c r="L43" s="12" t="n">
        <v>46289</v>
      </c>
      <c r="M43" s="4" t="n">
        <v>9</v>
      </c>
      <c r="N43" s="4" t="inlineStr">
        <is>
          <t>6-10d</t>
        </is>
      </c>
      <c r="O43" s="4" t="inlineStr">
        <is>
          <t>LOW</t>
        </is>
      </c>
      <c r="P43" s="13" t="inlineStr">
        <is>
          <t>Quantity differs by 600.</t>
        </is>
      </c>
      <c r="Q43" s="13" t="inlineStr">
        <is>
          <t>Obtain broker confirm; correct quantity on the side that disagrees.</t>
        </is>
      </c>
    </row>
    <row r="44">
      <c r="A44" s="4" t="inlineStr">
        <is>
          <t>BRK-20261007-0043</t>
        </is>
      </c>
      <c r="B44" s="4" t="inlineStr">
        <is>
          <t>POSITION</t>
        </is>
      </c>
      <c r="C44" s="4" t="inlineStr">
        <is>
          <t>POSITION_BREAK_TRADE_DRIVEN</t>
        </is>
      </c>
      <c r="D44" s="4" t="inlineStr">
        <is>
          <t>Trade Accounting &amp; Operation</t>
        </is>
      </c>
      <c r="E44" s="4" t="inlineStr">
        <is>
          <t>FUND_BETA</t>
        </is>
      </c>
      <c r="F44" s="4" t="inlineStr">
        <is>
          <t>SEC016</t>
        </is>
      </c>
      <c r="G44" s="4" t="inlineStr">
        <is>
          <t>FUND_BETA|SEC016</t>
        </is>
      </c>
      <c r="H44" s="7" t="n">
        <v>36100</v>
      </c>
      <c r="I44" s="7" t="n">
        <v>36700</v>
      </c>
      <c r="J44" s="7" t="n">
        <v>-600</v>
      </c>
      <c r="K44" s="7" t="n">
        <v>48530.82</v>
      </c>
      <c r="L44" s="12" t="n">
        <v>46302</v>
      </c>
      <c r="M44" s="4" t="n">
        <v>0</v>
      </c>
      <c r="N44" s="4" t="inlineStr">
        <is>
          <t>0-1d</t>
        </is>
      </c>
      <c r="O44" s="4" t="inlineStr">
        <is>
          <t>LOW</t>
        </is>
      </c>
      <c r="P44" s="13" t="inlineStr">
        <is>
          <t>Fully explained by trade break(s): TRD100058</t>
        </is>
      </c>
      <c r="Q44" s="13" t="inlineStr">
        <is>
          <t>No separate action; clears when the linked trade break is resolved.</t>
        </is>
      </c>
    </row>
    <row r="45">
      <c r="A45" s="4" t="inlineStr">
        <is>
          <t>BRK-20261007-0044</t>
        </is>
      </c>
      <c r="B45" s="4" t="inlineStr">
        <is>
          <t>TRADE</t>
        </is>
      </c>
      <c r="C45" s="4" t="inlineStr">
        <is>
          <t>TRADE_QTY_MISMATCH</t>
        </is>
      </c>
      <c r="D45" s="4" t="inlineStr">
        <is>
          <t>Trade Accounting &amp; Operation</t>
        </is>
      </c>
      <c r="E45" s="4" t="inlineStr">
        <is>
          <t>FUND_GAMMA</t>
        </is>
      </c>
      <c r="F45" s="4" t="inlineStr">
        <is>
          <t>SEC022</t>
        </is>
      </c>
      <c r="G45" s="4" t="inlineStr">
        <is>
          <t>TRD100262</t>
        </is>
      </c>
      <c r="H45" s="7" t="n">
        <v>18600</v>
      </c>
      <c r="I45" s="7" t="n">
        <v>18200</v>
      </c>
      <c r="J45" s="7" t="n">
        <v>400</v>
      </c>
      <c r="K45" s="7" t="n">
        <v>37947.88</v>
      </c>
      <c r="L45" s="12" t="n">
        <v>46300</v>
      </c>
      <c r="M45" s="4" t="n">
        <v>2</v>
      </c>
      <c r="N45" s="4" t="inlineStr">
        <is>
          <t>2-5d</t>
        </is>
      </c>
      <c r="O45" s="4" t="inlineStr">
        <is>
          <t>LOW</t>
        </is>
      </c>
      <c r="P45" s="13" t="inlineStr">
        <is>
          <t>Quantity differs by 400.</t>
        </is>
      </c>
      <c r="Q45" s="13" t="inlineStr">
        <is>
          <t>Obtain broker confirm; correct quantity on the side that disagrees.</t>
        </is>
      </c>
    </row>
    <row r="46">
      <c r="A46" s="4" t="inlineStr">
        <is>
          <t>BRK-20261007-0045</t>
        </is>
      </c>
      <c r="B46" s="4" t="inlineStr">
        <is>
          <t>POSITION</t>
        </is>
      </c>
      <c r="C46" s="4" t="inlineStr">
        <is>
          <t>POSITION_BREAK_TRADE_DRIVEN</t>
        </is>
      </c>
      <c r="D46" s="4" t="inlineStr">
        <is>
          <t>Trade Accounting &amp; Operation</t>
        </is>
      </c>
      <c r="E46" s="4" t="inlineStr">
        <is>
          <t>FUND_GAMMA</t>
        </is>
      </c>
      <c r="F46" s="4" t="inlineStr">
        <is>
          <t>SEC022</t>
        </is>
      </c>
      <c r="G46" s="4" t="inlineStr">
        <is>
          <t>FUND_GAMMA|SEC022</t>
        </is>
      </c>
      <c r="H46" s="7" t="n">
        <v>5100</v>
      </c>
      <c r="I46" s="7" t="n">
        <v>4700</v>
      </c>
      <c r="J46" s="7" t="n">
        <v>400</v>
      </c>
      <c r="K46" s="7" t="n">
        <v>37825.64</v>
      </c>
      <c r="L46" s="12" t="n">
        <v>46302</v>
      </c>
      <c r="M46" s="4" t="n">
        <v>0</v>
      </c>
      <c r="N46" s="4" t="inlineStr">
        <is>
          <t>0-1d</t>
        </is>
      </c>
      <c r="O46" s="4" t="inlineStr">
        <is>
          <t>LOW</t>
        </is>
      </c>
      <c r="P46" s="13" t="inlineStr">
        <is>
          <t>Fully explained by trade break(s): TRD100262</t>
        </is>
      </c>
      <c r="Q46" s="13" t="inlineStr">
        <is>
          <t>No separate action; clears when the linked trade break is resolved.</t>
        </is>
      </c>
    </row>
    <row r="47">
      <c r="A47" s="4" t="inlineStr">
        <is>
          <t>BRK-20261007-0046</t>
        </is>
      </c>
      <c r="B47" s="4" t="inlineStr">
        <is>
          <t>TRADE</t>
        </is>
      </c>
      <c r="C47" s="4" t="inlineStr">
        <is>
          <t>TRADE_QTY_MISMATCH</t>
        </is>
      </c>
      <c r="D47" s="4" t="inlineStr">
        <is>
          <t>Trade Accounting &amp; Operation</t>
        </is>
      </c>
      <c r="E47" s="4" t="inlineStr">
        <is>
          <t>FUND_BETA</t>
        </is>
      </c>
      <c r="F47" s="4" t="inlineStr">
        <is>
          <t>SEC020</t>
        </is>
      </c>
      <c r="G47" s="4" t="inlineStr">
        <is>
          <t>TRD100153</t>
        </is>
      </c>
      <c r="H47" s="7" t="n">
        <v>2500</v>
      </c>
      <c r="I47" s="7" t="n">
        <v>2200</v>
      </c>
      <c r="J47" s="7" t="n">
        <v>300</v>
      </c>
      <c r="K47" s="7" t="n">
        <v>32125.17</v>
      </c>
      <c r="L47" s="12" t="n">
        <v>46294</v>
      </c>
      <c r="M47" s="4" t="n">
        <v>6</v>
      </c>
      <c r="N47" s="4" t="inlineStr">
        <is>
          <t>6-10d</t>
        </is>
      </c>
      <c r="O47" s="4" t="inlineStr">
        <is>
          <t>LOW</t>
        </is>
      </c>
      <c r="P47" s="13" t="inlineStr">
        <is>
          <t>Quantity differs by 300.</t>
        </is>
      </c>
      <c r="Q47" s="13" t="inlineStr">
        <is>
          <t>Obtain broker confirm; correct quantity on the side that disagrees.</t>
        </is>
      </c>
    </row>
    <row r="48">
      <c r="A48" s="4" t="inlineStr">
        <is>
          <t>BRK-20261007-0047</t>
        </is>
      </c>
      <c r="B48" s="4" t="inlineStr">
        <is>
          <t>POSITION</t>
        </is>
      </c>
      <c r="C48" s="4" t="inlineStr">
        <is>
          <t>POSITION_BREAK_TRADE_DRIVEN</t>
        </is>
      </c>
      <c r="D48" s="4" t="inlineStr">
        <is>
          <t>Trade Accounting &amp; Operation</t>
        </is>
      </c>
      <c r="E48" s="4" t="inlineStr">
        <is>
          <t>FUND_BETA</t>
        </is>
      </c>
      <c r="F48" s="4" t="inlineStr">
        <is>
          <t>SEC003</t>
        </is>
      </c>
      <c r="G48" s="4" t="inlineStr">
        <is>
          <t>FUND_BETA|SEC003</t>
        </is>
      </c>
      <c r="H48" s="7" t="n">
        <v>-15800</v>
      </c>
      <c r="I48" s="7" t="n">
        <v>-16000</v>
      </c>
      <c r="J48" s="7" t="n">
        <v>200</v>
      </c>
      <c r="K48" s="7" t="n">
        <v>31456.38</v>
      </c>
      <c r="L48" s="12" t="n">
        <v>46302</v>
      </c>
      <c r="M48" s="4" t="n">
        <v>0</v>
      </c>
      <c r="N48" s="4" t="inlineStr">
        <is>
          <t>0-1d</t>
        </is>
      </c>
      <c r="O48" s="4" t="inlineStr">
        <is>
          <t>LOW</t>
        </is>
      </c>
      <c r="P48" s="13" t="inlineStr">
        <is>
          <t>Fully explained by trade break(s): TRD100042, TRD100166</t>
        </is>
      </c>
      <c r="Q48" s="13" t="inlineStr">
        <is>
          <t>No separate action; clears when the linked trade break is resolved.</t>
        </is>
      </c>
    </row>
    <row r="49">
      <c r="A49" s="4" t="inlineStr">
        <is>
          <t>BRK-20261007-0048</t>
        </is>
      </c>
      <c r="B49" s="4" t="inlineStr">
        <is>
          <t>TRADE</t>
        </is>
      </c>
      <c r="C49" s="4" t="inlineStr">
        <is>
          <t>TRADE_PRICE_MISMATCH</t>
        </is>
      </c>
      <c r="D49" s="4" t="inlineStr">
        <is>
          <t>Trade Accounting &amp; Operation</t>
        </is>
      </c>
      <c r="E49" s="4" t="inlineStr">
        <is>
          <t>FUND_ALPHA</t>
        </is>
      </c>
      <c r="F49" s="4" t="inlineStr">
        <is>
          <t>SEC018</t>
        </is>
      </c>
      <c r="G49" s="4" t="inlineStr">
        <is>
          <t>TRD100015</t>
        </is>
      </c>
      <c r="H49" s="7" t="n">
        <v>224.776</v>
      </c>
      <c r="I49" s="7" t="n">
        <v>227.7121</v>
      </c>
      <c r="J49" s="7" t="n">
        <v>-2.9361</v>
      </c>
      <c r="K49" s="7" t="n">
        <v>28480.16999999982</v>
      </c>
      <c r="L49" s="12" t="n">
        <v>46293</v>
      </c>
      <c r="M49" s="4" t="n">
        <v>7</v>
      </c>
      <c r="N49" s="4" t="inlineStr">
        <is>
          <t>6-10d</t>
        </is>
      </c>
      <c r="O49" s="4" t="inlineStr">
        <is>
          <t>LOW</t>
        </is>
      </c>
      <c r="P49" s="13" t="inlineStr">
        <is>
          <t>Price differs by 128.9 bps (tolerance 1.0 bps).</t>
        </is>
      </c>
      <c r="Q49" s="13" t="inlineStr">
        <is>
          <t>Obtain broker confirm; correct price and book the P&amp;L / cash adjustment.</t>
        </is>
      </c>
    </row>
    <row r="50">
      <c r="A50" s="4" t="inlineStr">
        <is>
          <t>BRK-20261007-0049</t>
        </is>
      </c>
      <c r="B50" s="4" t="inlineStr">
        <is>
          <t>POSITION</t>
        </is>
      </c>
      <c r="C50" s="4" t="inlineStr">
        <is>
          <t>POSITION_BREAK_TRADE_DRIVEN</t>
        </is>
      </c>
      <c r="D50" s="4" t="inlineStr">
        <is>
          <t>Trade Accounting &amp; Operation</t>
        </is>
      </c>
      <c r="E50" s="4" t="inlineStr">
        <is>
          <t>FUND_BETA</t>
        </is>
      </c>
      <c r="F50" s="4" t="inlineStr">
        <is>
          <t>SEC008</t>
        </is>
      </c>
      <c r="G50" s="4" t="inlineStr">
        <is>
          <t>FUND_BETA|SEC008</t>
        </is>
      </c>
      <c r="H50" s="7" t="n">
        <v>-5800</v>
      </c>
      <c r="I50" s="7" t="n">
        <v>-5500</v>
      </c>
      <c r="J50" s="7" t="n">
        <v>-300</v>
      </c>
      <c r="K50" s="7" t="n">
        <v>23122.89</v>
      </c>
      <c r="L50" s="12" t="n">
        <v>46302</v>
      </c>
      <c r="M50" s="4" t="n">
        <v>0</v>
      </c>
      <c r="N50" s="4" t="inlineStr">
        <is>
          <t>0-1d</t>
        </is>
      </c>
      <c r="O50" s="4" t="inlineStr">
        <is>
          <t>LOW</t>
        </is>
      </c>
      <c r="P50" s="13" t="inlineStr">
        <is>
          <t>Fully explained by trade break(s): TRD100179</t>
        </is>
      </c>
      <c r="Q50" s="13" t="inlineStr">
        <is>
          <t>No separate action; clears when the linked trade break is resolved.</t>
        </is>
      </c>
    </row>
    <row r="51">
      <c r="A51" s="4" t="inlineStr">
        <is>
          <t>BRK-20261007-0050</t>
        </is>
      </c>
      <c r="B51" s="4" t="inlineStr">
        <is>
          <t>TRADE</t>
        </is>
      </c>
      <c r="C51" s="4" t="inlineStr">
        <is>
          <t>TRADE_QTY_MISMATCH</t>
        </is>
      </c>
      <c r="D51" s="4" t="inlineStr">
        <is>
          <t>Trade Accounting &amp; Operation</t>
        </is>
      </c>
      <c r="E51" s="4" t="inlineStr">
        <is>
          <t>FUND_BETA</t>
        </is>
      </c>
      <c r="F51" s="4" t="inlineStr">
        <is>
          <t>SEC008</t>
        </is>
      </c>
      <c r="G51" s="4" t="inlineStr">
        <is>
          <t>TRD100179</t>
        </is>
      </c>
      <c r="H51" s="7" t="n">
        <v>10000</v>
      </c>
      <c r="I51" s="7" t="n">
        <v>10300</v>
      </c>
      <c r="J51" s="7" t="n">
        <v>-300</v>
      </c>
      <c r="K51" s="7" t="n">
        <v>23075.97</v>
      </c>
      <c r="L51" s="12" t="n">
        <v>46293</v>
      </c>
      <c r="M51" s="4" t="n">
        <v>7</v>
      </c>
      <c r="N51" s="4" t="inlineStr">
        <is>
          <t>6-10d</t>
        </is>
      </c>
      <c r="O51" s="4" t="inlineStr">
        <is>
          <t>LOW</t>
        </is>
      </c>
      <c r="P51" s="13" t="inlineStr">
        <is>
          <t>Quantity differs by 300.</t>
        </is>
      </c>
      <c r="Q51" s="13" t="inlineStr">
        <is>
          <t>Obtain broker confirm; correct quantity on the side that disagrees.</t>
        </is>
      </c>
    </row>
    <row r="52">
      <c r="A52" s="4" t="inlineStr">
        <is>
          <t>BRK-20261007-0051</t>
        </is>
      </c>
      <c r="B52" s="4" t="inlineStr">
        <is>
          <t>TRADE</t>
        </is>
      </c>
      <c r="C52" s="4" t="inlineStr">
        <is>
          <t>TRADE_PRICE_MISMATCH</t>
        </is>
      </c>
      <c r="D52" s="4" t="inlineStr">
        <is>
          <t>Trade Accounting &amp; Operation</t>
        </is>
      </c>
      <c r="E52" s="4" t="inlineStr">
        <is>
          <t>FUND_ALPHA</t>
        </is>
      </c>
      <c r="F52" s="4" t="inlineStr">
        <is>
          <t>SEC002</t>
        </is>
      </c>
      <c r="G52" s="4" t="inlineStr">
        <is>
          <t>TRD100169</t>
        </is>
      </c>
      <c r="H52" s="7" t="n">
        <v>352.6565</v>
      </c>
      <c r="I52" s="7" t="n">
        <v>354.6241</v>
      </c>
      <c r="J52" s="7" t="n">
        <v>-1.9676</v>
      </c>
      <c r="K52" s="7" t="n">
        <v>19872.76000000005</v>
      </c>
      <c r="L52" s="12" t="n">
        <v>46300</v>
      </c>
      <c r="M52" s="4" t="n">
        <v>2</v>
      </c>
      <c r="N52" s="4" t="inlineStr">
        <is>
          <t>2-5d</t>
        </is>
      </c>
      <c r="O52" s="4" t="inlineStr">
        <is>
          <t>LOW</t>
        </is>
      </c>
      <c r="P52" s="13" t="inlineStr">
        <is>
          <t>Price differs by 55.5 bps (tolerance 1.0 bps).</t>
        </is>
      </c>
      <c r="Q52" s="13" t="inlineStr">
        <is>
          <t>Obtain broker confirm; correct price and book the P&amp;L / cash adjustment.</t>
        </is>
      </c>
    </row>
    <row r="53">
      <c r="A53" s="4" t="inlineStr">
        <is>
          <t>BRK-20261007-0052</t>
        </is>
      </c>
      <c r="B53" s="4" t="inlineStr">
        <is>
          <t>TRADE</t>
        </is>
      </c>
      <c r="C53" s="4" t="inlineStr">
        <is>
          <t>TRADE_PRICE_MISMATCH</t>
        </is>
      </c>
      <c r="D53" s="4" t="inlineStr">
        <is>
          <t>Trade Accounting &amp; Operation</t>
        </is>
      </c>
      <c r="E53" s="4" t="inlineStr">
        <is>
          <t>FUND_GAMMA</t>
        </is>
      </c>
      <c r="F53" s="4" t="inlineStr">
        <is>
          <t>SEC017</t>
        </is>
      </c>
      <c r="G53" s="4" t="inlineStr">
        <is>
          <t>TRD100276</t>
        </is>
      </c>
      <c r="H53" s="7" t="n">
        <v>103.547</v>
      </c>
      <c r="I53" s="7" t="n">
        <v>102.4729</v>
      </c>
      <c r="J53" s="7" t="n">
        <v>1.0741</v>
      </c>
      <c r="K53" s="7" t="n">
        <v>19333.80000000002</v>
      </c>
      <c r="L53" s="12" t="n">
        <v>46300</v>
      </c>
      <c r="M53" s="4" t="n">
        <v>2</v>
      </c>
      <c r="N53" s="4" t="inlineStr">
        <is>
          <t>2-5d</t>
        </is>
      </c>
      <c r="O53" s="4" t="inlineStr">
        <is>
          <t>LOW</t>
        </is>
      </c>
      <c r="P53" s="13" t="inlineStr">
        <is>
          <t>Price differs by 104.8 bps (tolerance 1.0 bps).</t>
        </is>
      </c>
      <c r="Q53" s="13" t="inlineStr">
        <is>
          <t>Obtain broker confirm; correct price and book the P&amp;L / cash adjustment.</t>
        </is>
      </c>
    </row>
    <row r="54">
      <c r="A54" s="4" t="inlineStr">
        <is>
          <t>BRK-20261007-0053</t>
        </is>
      </c>
      <c r="B54" s="4" t="inlineStr">
        <is>
          <t>TRADE</t>
        </is>
      </c>
      <c r="C54" s="4" t="inlineStr">
        <is>
          <t>TRADE_PRICE_MISMATCH</t>
        </is>
      </c>
      <c r="D54" s="4" t="inlineStr">
        <is>
          <t>Trade Accounting &amp; Operation</t>
        </is>
      </c>
      <c r="E54" s="4" t="inlineStr">
        <is>
          <t>FUND_ALPHA</t>
        </is>
      </c>
      <c r="F54" s="4" t="inlineStr">
        <is>
          <t>SEC015</t>
        </is>
      </c>
      <c r="G54" s="4" t="inlineStr">
        <is>
          <t>TRD100205</t>
        </is>
      </c>
      <c r="H54" s="7" t="n">
        <v>215.7184</v>
      </c>
      <c r="I54" s="7" t="n">
        <v>214.5996</v>
      </c>
      <c r="J54" s="7" t="n">
        <v>1.1188</v>
      </c>
      <c r="K54" s="7" t="n">
        <v>19243.35999999988</v>
      </c>
      <c r="L54" s="12" t="n">
        <v>46293</v>
      </c>
      <c r="M54" s="4" t="n">
        <v>7</v>
      </c>
      <c r="N54" s="4" t="inlineStr">
        <is>
          <t>6-10d</t>
        </is>
      </c>
      <c r="O54" s="4" t="inlineStr">
        <is>
          <t>LOW</t>
        </is>
      </c>
      <c r="P54" s="13" t="inlineStr">
        <is>
          <t>Price differs by 52.1 bps (tolerance 1.0 bps).</t>
        </is>
      </c>
      <c r="Q54" s="13" t="inlineStr">
        <is>
          <t>Obtain broker confirm; correct price and book the P&amp;L / cash adjustment.</t>
        </is>
      </c>
    </row>
    <row r="55">
      <c r="A55" s="4" t="inlineStr">
        <is>
          <t>BRK-20261007-0054</t>
        </is>
      </c>
      <c r="B55" s="4" t="inlineStr">
        <is>
          <t>MARGIN</t>
        </is>
      </c>
      <c r="C55" s="4" t="inlineStr">
        <is>
          <t>MARGIN_AMOUNT_MISMATCH</t>
        </is>
      </c>
      <c r="D55" s="4" t="inlineStr">
        <is>
          <t>Treasury</t>
        </is>
      </c>
      <c r="E55" s="4" t="inlineStr">
        <is>
          <t>FUND_BETA</t>
        </is>
      </c>
      <c r="F55" s="4" t="n"/>
      <c r="G55" s="4" t="inlineStr">
        <is>
          <t>MRG1001</t>
        </is>
      </c>
      <c r="H55" s="7" t="n">
        <v>710651.02</v>
      </c>
      <c r="I55" s="7" t="n">
        <v>728417.3</v>
      </c>
      <c r="J55" s="7" t="n">
        <v>-17766.28</v>
      </c>
      <c r="K55" s="7" t="n">
        <v>17766.28000000003</v>
      </c>
      <c r="L55" s="12" t="n">
        <v>46301</v>
      </c>
      <c r="M55" s="4" t="n">
        <v>1</v>
      </c>
      <c r="N55" s="4" t="inlineStr">
        <is>
          <t>0-1d</t>
        </is>
      </c>
      <c r="O55" s="4" t="inlineStr">
        <is>
          <t>LOW</t>
        </is>
      </c>
      <c r="P55" s="13" t="inlineStr">
        <is>
          <t>Amounts differ by 17,766.28 (tolerance 1.00).</t>
        </is>
      </c>
      <c r="Q55" s="13" t="inlineStr">
        <is>
          <t>Compare call statements; agree the exposure and rebook the correct amount.</t>
        </is>
      </c>
    </row>
    <row r="56">
      <c r="A56" s="4" t="inlineStr">
        <is>
          <t>BRK-20261007-0055</t>
        </is>
      </c>
      <c r="B56" s="4" t="inlineStr">
        <is>
          <t>TRADE</t>
        </is>
      </c>
      <c r="C56" s="4" t="inlineStr">
        <is>
          <t>TRADE_PRICE_MISMATCH</t>
        </is>
      </c>
      <c r="D56" s="4" t="inlineStr">
        <is>
          <t>Trade Accounting &amp; Operation</t>
        </is>
      </c>
      <c r="E56" s="4" t="inlineStr">
        <is>
          <t>FUND_BETA</t>
        </is>
      </c>
      <c r="F56" s="4" t="inlineStr">
        <is>
          <t>SEC022</t>
        </is>
      </c>
      <c r="G56" s="4" t="inlineStr">
        <is>
          <t>TRD100297</t>
        </is>
      </c>
      <c r="H56" s="7" t="n">
        <v>94.44499999999999</v>
      </c>
      <c r="I56" s="7" t="n">
        <v>93.4577</v>
      </c>
      <c r="J56" s="7" t="n">
        <v>0.9873</v>
      </c>
      <c r="K56" s="7" t="n">
        <v>14217.11999999986</v>
      </c>
      <c r="L56" s="12" t="n">
        <v>46293</v>
      </c>
      <c r="M56" s="4" t="n">
        <v>7</v>
      </c>
      <c r="N56" s="4" t="inlineStr">
        <is>
          <t>6-10d</t>
        </is>
      </c>
      <c r="O56" s="4" t="inlineStr">
        <is>
          <t>LOW</t>
        </is>
      </c>
      <c r="P56" s="13" t="inlineStr">
        <is>
          <t>Price differs by 105.6 bps (tolerance 1.0 bps).</t>
        </is>
      </c>
      <c r="Q56" s="13" t="inlineStr">
        <is>
          <t>Obtain broker confirm; correct price and book the P&amp;L / cash adjustment.</t>
        </is>
      </c>
    </row>
    <row r="57">
      <c r="A57" s="4" t="inlineStr">
        <is>
          <t>BRK-20261007-0056</t>
        </is>
      </c>
      <c r="B57" s="4" t="inlineStr">
        <is>
          <t>PRICING</t>
        </is>
      </c>
      <c r="C57" s="4" t="inlineStr">
        <is>
          <t>PRICING_STALE</t>
        </is>
      </c>
      <c r="D57" s="4" t="inlineStr">
        <is>
          <t>Pricing</t>
        </is>
      </c>
      <c r="E57" s="4" t="n"/>
      <c r="F57" s="4" t="inlineStr">
        <is>
          <t>SEC007</t>
        </is>
      </c>
      <c r="G57" s="4" t="inlineStr">
        <is>
          <t>SEC007</t>
        </is>
      </c>
      <c r="H57" s="7" t="n">
        <v>142.3329</v>
      </c>
      <c r="I57" s="7" t="n">
        <v>145.8706</v>
      </c>
      <c r="J57" s="7" t="n">
        <v>-3.5377</v>
      </c>
      <c r="K57" s="7" t="n">
        <v>10613.1</v>
      </c>
      <c r="L57" s="12" t="n">
        <v>46302</v>
      </c>
      <c r="M57" s="4" t="n">
        <v>0</v>
      </c>
      <c r="N57" s="4" t="inlineStr">
        <is>
          <t>0-1d</t>
        </is>
      </c>
      <c r="O57" s="4" t="inlineStr">
        <is>
          <t>LOW</t>
        </is>
      </c>
      <c r="P57" s="13" t="inlineStr">
        <is>
          <t>Platform price equals prior-day price; street moved 249 bps.</t>
        </is>
      </c>
      <c r="Q57" s="13" t="inlineStr">
        <is>
          <t>Price not refreshed since prior day; re-pull the price feed and revalue.</t>
        </is>
      </c>
    </row>
    <row r="58">
      <c r="A58" s="4" t="inlineStr">
        <is>
          <t>BRK-20261007-0057</t>
        </is>
      </c>
      <c r="B58" s="4" t="inlineStr">
        <is>
          <t>POSITION</t>
        </is>
      </c>
      <c r="C58" s="4" t="inlineStr">
        <is>
          <t>POSITION_BREAK_TRADE_DRIVEN</t>
        </is>
      </c>
      <c r="D58" s="4" t="inlineStr">
        <is>
          <t>Trade Accounting &amp; Operation</t>
        </is>
      </c>
      <c r="E58" s="4" t="inlineStr">
        <is>
          <t>FUND_ALPHA</t>
        </is>
      </c>
      <c r="F58" s="4" t="inlineStr">
        <is>
          <t>SEC022</t>
        </is>
      </c>
      <c r="G58" s="4" t="inlineStr">
        <is>
          <t>FUND_ALPHA|SEC022</t>
        </is>
      </c>
      <c r="H58" s="7" t="n">
        <v>-23500</v>
      </c>
      <c r="I58" s="7" t="n">
        <v>-23400</v>
      </c>
      <c r="J58" s="7" t="n">
        <v>-100</v>
      </c>
      <c r="K58" s="7" t="n">
        <v>9456.41</v>
      </c>
      <c r="L58" s="12" t="n">
        <v>46302</v>
      </c>
      <c r="M58" s="4" t="n">
        <v>0</v>
      </c>
      <c r="N58" s="4" t="inlineStr">
        <is>
          <t>0-1d</t>
        </is>
      </c>
      <c r="O58" s="4" t="inlineStr">
        <is>
          <t>LOW</t>
        </is>
      </c>
      <c r="P58" s="13" t="inlineStr">
        <is>
          <t>Fully explained by trade break(s): TRD100076, TRD100131, TRD100248</t>
        </is>
      </c>
      <c r="Q58" s="13" t="inlineStr">
        <is>
          <t>No separate action; clears when the linked trade break is resolved.</t>
        </is>
      </c>
    </row>
    <row r="59">
      <c r="A59" s="4" t="inlineStr">
        <is>
          <t>BRK-20261007-0058</t>
        </is>
      </c>
      <c r="B59" s="4" t="inlineStr">
        <is>
          <t>TRADE</t>
        </is>
      </c>
      <c r="C59" s="4" t="inlineStr">
        <is>
          <t>TRADE_QTY_MISMATCH</t>
        </is>
      </c>
      <c r="D59" s="4" t="inlineStr">
        <is>
          <t>Trade Accounting &amp; Operation</t>
        </is>
      </c>
      <c r="E59" s="4" t="inlineStr">
        <is>
          <t>FUND_ALPHA</t>
        </is>
      </c>
      <c r="F59" s="4" t="inlineStr">
        <is>
          <t>SEC022</t>
        </is>
      </c>
      <c r="G59" s="4" t="inlineStr">
        <is>
          <t>TRD100131</t>
        </is>
      </c>
      <c r="H59" s="7" t="n">
        <v>4400</v>
      </c>
      <c r="I59" s="7" t="n">
        <v>4300</v>
      </c>
      <c r="J59" s="7" t="n">
        <v>100</v>
      </c>
      <c r="K59" s="7" t="n">
        <v>9425.029999999999</v>
      </c>
      <c r="L59" s="12" t="n">
        <v>46302</v>
      </c>
      <c r="M59" s="4" t="n">
        <v>0</v>
      </c>
      <c r="N59" s="4" t="inlineStr">
        <is>
          <t>0-1d</t>
        </is>
      </c>
      <c r="O59" s="4" t="inlineStr">
        <is>
          <t>LOW</t>
        </is>
      </c>
      <c r="P59" s="13" t="inlineStr">
        <is>
          <t>Quantity differs by 100.</t>
        </is>
      </c>
      <c r="Q59" s="13" t="inlineStr">
        <is>
          <t>Obtain broker confirm; correct quantity on the side that disagrees.</t>
        </is>
      </c>
    </row>
    <row r="60">
      <c r="A60" s="4" t="inlineStr">
        <is>
          <t>BRK-20261007-0059</t>
        </is>
      </c>
      <c r="B60" s="4" t="inlineStr">
        <is>
          <t>PRICING</t>
        </is>
      </c>
      <c r="C60" s="4" t="inlineStr">
        <is>
          <t>PRICING_VARIANCE</t>
        </is>
      </c>
      <c r="D60" s="4" t="inlineStr">
        <is>
          <t>Pricing</t>
        </is>
      </c>
      <c r="E60" s="4" t="n"/>
      <c r="F60" s="4" t="inlineStr">
        <is>
          <t>SEC001</t>
        </is>
      </c>
      <c r="G60" s="4" t="inlineStr">
        <is>
          <t>SEC001</t>
        </is>
      </c>
      <c r="H60" s="7" t="n">
        <v>208.7611</v>
      </c>
      <c r="I60" s="7" t="n">
        <v>212.9534</v>
      </c>
      <c r="J60" s="7" t="n">
        <v>-4.1923</v>
      </c>
      <c r="K60" s="7" t="n">
        <v>7965.369999999979</v>
      </c>
      <c r="L60" s="12" t="n">
        <v>46302</v>
      </c>
      <c r="M60" s="4" t="n">
        <v>0</v>
      </c>
      <c r="N60" s="4" t="inlineStr">
        <is>
          <t>0-1d</t>
        </is>
      </c>
      <c r="O60" s="4" t="inlineStr">
        <is>
          <t>LOW</t>
        </is>
      </c>
      <c r="P60" s="13" t="inlineStr">
        <is>
          <t>Platform vs street differs by -196.9 bps (tolerance 10 bps, EQUITY).</t>
        </is>
      </c>
      <c r="Q60" s="13" t="inlineStr">
        <is>
          <t>Compare vendor and street source; challenge or override with documented support.</t>
        </is>
      </c>
    </row>
    <row r="61">
      <c r="A61" s="4" t="inlineStr">
        <is>
          <t>BRK-20261007-0060</t>
        </is>
      </c>
      <c r="B61" s="4" t="inlineStr">
        <is>
          <t>TRADE</t>
        </is>
      </c>
      <c r="C61" s="4" t="inlineStr">
        <is>
          <t>TRADE_PRICE_MISMATCH</t>
        </is>
      </c>
      <c r="D61" s="4" t="inlineStr">
        <is>
          <t>Trade Accounting &amp; Operation</t>
        </is>
      </c>
      <c r="E61" s="4" t="inlineStr">
        <is>
          <t>FUND_ALPHA</t>
        </is>
      </c>
      <c r="F61" s="4" t="inlineStr">
        <is>
          <t>SEC022</t>
        </is>
      </c>
      <c r="G61" s="4" t="inlineStr">
        <is>
          <t>TRD100248</t>
        </is>
      </c>
      <c r="H61" s="7" t="n">
        <v>95.1973</v>
      </c>
      <c r="I61" s="7" t="n">
        <v>94.07559999999999</v>
      </c>
      <c r="J61" s="7" t="n">
        <v>1.1217</v>
      </c>
      <c r="K61" s="7" t="n">
        <v>897.3600000000033</v>
      </c>
      <c r="L61" s="12" t="n">
        <v>46301</v>
      </c>
      <c r="M61" s="4" t="n">
        <v>1</v>
      </c>
      <c r="N61" s="4" t="inlineStr">
        <is>
          <t>0-1d</t>
        </is>
      </c>
      <c r="O61" s="4" t="inlineStr">
        <is>
          <t>LOW</t>
        </is>
      </c>
      <c r="P61" s="13" t="inlineStr">
        <is>
          <t>Price differs by 119.2 bps (tolerance 1.0 bps).</t>
        </is>
      </c>
      <c r="Q61" s="13" t="inlineStr">
        <is>
          <t>Obtain broker confirm; correct price and book the P&amp;L / cash adjustment.</t>
        </is>
      </c>
    </row>
    <row r="62">
      <c r="A62" s="4" t="inlineStr">
        <is>
          <t>BRK-20261007-0061</t>
        </is>
      </c>
      <c r="B62" s="4" t="inlineStr">
        <is>
          <t>CASH</t>
        </is>
      </c>
      <c r="C62" s="4" t="inlineStr">
        <is>
          <t>CASH_BREAK_UNEXPLAINED_RESIDUAL</t>
        </is>
      </c>
      <c r="D62" s="4" t="inlineStr">
        <is>
          <t>Trade Accounting &amp; Operation</t>
        </is>
      </c>
      <c r="E62" s="4" t="inlineStr">
        <is>
          <t>FUND_BETA</t>
        </is>
      </c>
      <c r="F62" s="4" t="n"/>
      <c r="G62" s="4" t="inlineStr">
        <is>
          <t>FUND_BETA|USD</t>
        </is>
      </c>
      <c r="H62" s="7" t="n">
        <v>67174989.77</v>
      </c>
      <c r="I62" s="7" t="n">
        <v>73000875.54000001</v>
      </c>
      <c r="J62" s="7" t="n">
        <v>-5825885.77</v>
      </c>
      <c r="K62" s="7" t="n">
        <v>124.9999999990687</v>
      </c>
      <c r="L62" s="12" t="n">
        <v>46302</v>
      </c>
      <c r="M62" s="4" t="n">
        <v>0</v>
      </c>
      <c r="N62" s="4" t="inlineStr">
        <is>
          <t>0-1d</t>
        </is>
      </c>
      <c r="O62" s="4" t="inlineStr">
        <is>
          <t>LOW</t>
        </is>
      </c>
      <c r="P62" s="13" t="inlineStr">
        <is>
          <t>Residual remains after known causes: trade breaks -5,808,288.99; margin breaks -17,766.78; unbooked dividends 45.00; residual 125.00</t>
        </is>
      </c>
      <c r="Q62" s="13" t="inlineStr">
        <is>
          <t>Investigate the residual: fees, interest, FX or unbooked cash movement; book adjustment.</t>
        </is>
      </c>
    </row>
  </sheetData>
  <autoFilter ref="A1:Q62"/>
  <conditionalFormatting sqref="O2:O62">
    <cfRule type="cellIs" priority="1" operator="equal" dxfId="1">
      <formula>"HIGH"</formula>
    </cfRule>
    <cfRule type="cellIs" priority="2" operator="equal" dxfId="2">
      <formula>"MEDIUM"</formula>
    </cfRule>
    <cfRule type="cellIs" priority="3" operator="equal" dxfId="3">
      <formula>"LOW"</formula>
    </cfRule>
  </conditionalFormatting>
  <conditionalFormatting sqref="M2:M62">
    <cfRule type="cellIs" priority="4" operator="greaterThan" dxfId="4">
      <formula>5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36" customWidth="1" min="3" max="3"/>
    <col width="28" customWidth="1" min="4" max="4"/>
    <col width="13" customWidth="1" min="5" max="5"/>
    <col width="12" customWidth="1" min="6" max="6"/>
    <col width="24" customWidth="1" min="7" max="7"/>
    <col width="22" customWidth="1" min="8" max="8"/>
    <col width="22" customWidth="1" min="9" max="9"/>
    <col width="14" customWidth="1" min="10" max="10"/>
    <col width="16" customWidth="1" min="11" max="11"/>
    <col width="14" customWidth="1" min="12" max="12"/>
    <col width="9" customWidth="1" min="13" max="13"/>
    <col width="11" customWidth="1" min="14" max="14"/>
    <col width="10" customWidth="1" min="15" max="15"/>
    <col width="70" customWidth="1" min="16" max="16"/>
    <col width="70" customWidth="1" min="17" max="17"/>
  </cols>
  <sheetData>
    <row r="1" ht="30" customHeight="1">
      <c r="A1" s="11" t="inlineStr">
        <is>
          <t>Break Id</t>
        </is>
      </c>
      <c r="B1" s="11" t="inlineStr">
        <is>
          <t>Category</t>
        </is>
      </c>
      <c r="C1" s="11" t="inlineStr">
        <is>
          <t>Break Type</t>
        </is>
      </c>
      <c r="D1" s="11" t="inlineStr">
        <is>
          <t>Owner Team</t>
        </is>
      </c>
      <c r="E1" s="11" t="inlineStr">
        <is>
          <t>Account</t>
        </is>
      </c>
      <c r="F1" s="11" t="inlineStr">
        <is>
          <t>Security Id</t>
        </is>
      </c>
      <c r="G1" s="11" t="inlineStr">
        <is>
          <t>Reference</t>
        </is>
      </c>
      <c r="H1" s="11" t="inlineStr">
        <is>
          <t>Internal Value</t>
        </is>
      </c>
      <c r="I1" s="11" t="inlineStr">
        <is>
          <t>Custodian Value</t>
        </is>
      </c>
      <c r="J1" s="11" t="inlineStr">
        <is>
          <t>Difference</t>
        </is>
      </c>
      <c r="K1" s="11" t="inlineStr">
        <is>
          <t>Notional Usd</t>
        </is>
      </c>
      <c r="L1" s="11" t="inlineStr">
        <is>
          <t>Reference Date</t>
        </is>
      </c>
      <c r="M1" s="11" t="inlineStr">
        <is>
          <t>Age Days</t>
        </is>
      </c>
      <c r="N1" s="11" t="inlineStr">
        <is>
          <t>Age Bucket</t>
        </is>
      </c>
      <c r="O1" s="11" t="inlineStr">
        <is>
          <t>Severity</t>
        </is>
      </c>
      <c r="P1" s="11" t="inlineStr">
        <is>
          <t>Explanation</t>
        </is>
      </c>
      <c r="Q1" s="11" t="inlineStr">
        <is>
          <t>Suggested Action</t>
        </is>
      </c>
    </row>
    <row r="2">
      <c r="A2" s="4" t="inlineStr">
        <is>
          <t>BRK-20261007-0007</t>
        </is>
      </c>
      <c r="B2" s="4" t="inlineStr">
        <is>
          <t>TRADE</t>
        </is>
      </c>
      <c r="C2" s="4" t="inlineStr">
        <is>
          <t>TRADE_SETTLE_DATE_MISMATCH</t>
        </is>
      </c>
      <c r="D2" s="4" t="inlineStr">
        <is>
          <t>Trade Accounting &amp; Operation</t>
        </is>
      </c>
      <c r="E2" s="4" t="inlineStr">
        <is>
          <t>FUND_ALPHA</t>
        </is>
      </c>
      <c r="F2" s="4" t="inlineStr">
        <is>
          <t>SEC012</t>
        </is>
      </c>
      <c r="G2" s="4" t="inlineStr">
        <is>
          <t>TRD100187</t>
        </is>
      </c>
      <c r="H2" s="4" t="inlineStr">
        <is>
          <t>2026-10-06</t>
        </is>
      </c>
      <c r="I2" s="4" t="inlineStr">
        <is>
          <t>2026-10-07</t>
        </is>
      </c>
      <c r="J2" s="4" t="n"/>
      <c r="K2" s="7" t="n">
        <v>4821861.54</v>
      </c>
      <c r="L2" s="12" t="n">
        <v>46301</v>
      </c>
      <c r="M2" s="4" t="n">
        <v>1</v>
      </c>
      <c r="N2" s="4" t="inlineStr">
        <is>
          <t>0-1d</t>
        </is>
      </c>
      <c r="O2" s="4" t="inlineStr">
        <is>
          <t>HIGH</t>
        </is>
      </c>
      <c r="P2" s="13" t="inlineStr">
        <is>
          <t>Settlement dates disagree; risk of a settlement fail.</t>
        </is>
      </c>
      <c r="Q2" s="13" t="inlineStr">
        <is>
          <t>Check SSI and settlement instructions; align settle date to avoid a fail.</t>
        </is>
      </c>
    </row>
    <row r="3">
      <c r="A3" s="4" t="inlineStr">
        <is>
          <t>BRK-20261007-0008</t>
        </is>
      </c>
      <c r="B3" s="4" t="inlineStr">
        <is>
          <t>TRADE</t>
        </is>
      </c>
      <c r="C3" s="4" t="inlineStr">
        <is>
          <t>TRADE_MISSING_IN_CUSTODIAN</t>
        </is>
      </c>
      <c r="D3" s="4" t="inlineStr">
        <is>
          <t>Trade Accounting &amp; Operation</t>
        </is>
      </c>
      <c r="E3" s="4" t="inlineStr">
        <is>
          <t>FUND_ALPHA</t>
        </is>
      </c>
      <c r="F3" s="4" t="inlineStr">
        <is>
          <t>SEC011</t>
        </is>
      </c>
      <c r="G3" s="4" t="inlineStr">
        <is>
          <t>TRD100267</t>
        </is>
      </c>
      <c r="H3" s="4" t="inlineStr">
        <is>
          <t>SELL 11,800 @ 391.9323</t>
        </is>
      </c>
      <c r="I3" s="4" t="inlineStr">
        <is>
          <t>(missing)</t>
        </is>
      </c>
      <c r="J3" s="4" t="n"/>
      <c r="K3" s="7" t="n">
        <v>4624801.14</v>
      </c>
      <c r="L3" s="12" t="n">
        <v>46300</v>
      </c>
      <c r="M3" s="4" t="n">
        <v>2</v>
      </c>
      <c r="N3" s="4" t="inlineStr">
        <is>
          <t>2-5d</t>
        </is>
      </c>
      <c r="O3" s="4" t="inlineStr">
        <is>
          <t>HIGH</t>
        </is>
      </c>
      <c r="P3" s="13" t="inlineStr">
        <is>
          <t>Trade exists on the platform but not at the custodian.</t>
        </is>
      </c>
      <c r="Q3" s="13" t="inlineStr">
        <is>
          <t>Confirm trade with counterparty; check allocation and send trade to custodian.</t>
        </is>
      </c>
    </row>
    <row r="4">
      <c r="A4" s="4" t="inlineStr">
        <is>
          <t>BRK-20261007-0009</t>
        </is>
      </c>
      <c r="B4" s="4" t="inlineStr">
        <is>
          <t>TRADE</t>
        </is>
      </c>
      <c r="C4" s="4" t="inlineStr">
        <is>
          <t>TRADE_SETTLE_DATE_MISMATCH</t>
        </is>
      </c>
      <c r="D4" s="4" t="inlineStr">
        <is>
          <t>Trade Accounting &amp; Operation</t>
        </is>
      </c>
      <c r="E4" s="4" t="inlineStr">
        <is>
          <t>FUND_BETA</t>
        </is>
      </c>
      <c r="F4" s="4" t="inlineStr">
        <is>
          <t>SEC012</t>
        </is>
      </c>
      <c r="G4" s="4" t="inlineStr">
        <is>
          <t>TRD100046</t>
        </is>
      </c>
      <c r="H4" s="4" t="inlineStr">
        <is>
          <t>2026-10-06</t>
        </is>
      </c>
      <c r="I4" s="4" t="inlineStr">
        <is>
          <t>2026-10-07</t>
        </is>
      </c>
      <c r="J4" s="4" t="n"/>
      <c r="K4" s="7" t="n">
        <v>3714541.04</v>
      </c>
      <c r="L4" s="12" t="n">
        <v>46301</v>
      </c>
      <c r="M4" s="4" t="n">
        <v>1</v>
      </c>
      <c r="N4" s="4" t="inlineStr">
        <is>
          <t>0-1d</t>
        </is>
      </c>
      <c r="O4" s="4" t="inlineStr">
        <is>
          <t>HIGH</t>
        </is>
      </c>
      <c r="P4" s="13" t="inlineStr">
        <is>
          <t>Settlement dates disagree; risk of a settlement fail.</t>
        </is>
      </c>
      <c r="Q4" s="13" t="inlineStr">
        <is>
          <t>Check SSI and settlement instructions; align settle date to avoid a fail.</t>
        </is>
      </c>
    </row>
    <row r="5">
      <c r="A5" s="4" t="inlineStr">
        <is>
          <t>BRK-20261007-0011</t>
        </is>
      </c>
      <c r="B5" s="4" t="inlineStr">
        <is>
          <t>TRADE</t>
        </is>
      </c>
      <c r="C5" s="4" t="inlineStr">
        <is>
          <t>TRADE_MISSING_IN_CUSTODIAN</t>
        </is>
      </c>
      <c r="D5" s="4" t="inlineStr">
        <is>
          <t>Trade Accounting &amp; Operation</t>
        </is>
      </c>
      <c r="E5" s="4" t="inlineStr">
        <is>
          <t>FUND_BETA</t>
        </is>
      </c>
      <c r="F5" s="4" t="inlineStr">
        <is>
          <t>SEC015</t>
        </is>
      </c>
      <c r="G5" s="4" t="inlineStr">
        <is>
          <t>TRD100164</t>
        </is>
      </c>
      <c r="H5" s="4" t="inlineStr">
        <is>
          <t>BUY 13,500 @ 216.9081</t>
        </is>
      </c>
      <c r="I5" s="4" t="inlineStr">
        <is>
          <t>(missing)</t>
        </is>
      </c>
      <c r="J5" s="4" t="n"/>
      <c r="K5" s="7" t="n">
        <v>2928259.35</v>
      </c>
      <c r="L5" s="12" t="n">
        <v>46290</v>
      </c>
      <c r="M5" s="4" t="n">
        <v>8</v>
      </c>
      <c r="N5" s="4" t="inlineStr">
        <is>
          <t>6-10d</t>
        </is>
      </c>
      <c r="O5" s="4" t="inlineStr">
        <is>
          <t>HIGH</t>
        </is>
      </c>
      <c r="P5" s="13" t="inlineStr">
        <is>
          <t>Trade exists on the platform but not at the custodian.</t>
        </is>
      </c>
      <c r="Q5" s="13" t="inlineStr">
        <is>
          <t>Confirm trade with counterparty; check allocation and send trade to custodian.</t>
        </is>
      </c>
    </row>
    <row r="6">
      <c r="A6" s="4" t="inlineStr">
        <is>
          <t>BRK-20261007-0014</t>
        </is>
      </c>
      <c r="B6" s="4" t="inlineStr">
        <is>
          <t>TRADE</t>
        </is>
      </c>
      <c r="C6" s="4" t="inlineStr">
        <is>
          <t>TRADE_MISSING_IN_CUSTODIAN</t>
        </is>
      </c>
      <c r="D6" s="4" t="inlineStr">
        <is>
          <t>Trade Accounting &amp; Operation</t>
        </is>
      </c>
      <c r="E6" s="4" t="inlineStr">
        <is>
          <t>FUND_BETA</t>
        </is>
      </c>
      <c r="F6" s="4" t="inlineStr">
        <is>
          <t>SEC018</t>
        </is>
      </c>
      <c r="G6" s="4" t="inlineStr">
        <is>
          <t>TRD100292</t>
        </is>
      </c>
      <c r="H6" s="4" t="inlineStr">
        <is>
          <t>BUY 12,700 @ 224.9186</t>
        </is>
      </c>
      <c r="I6" s="4" t="inlineStr">
        <is>
          <t>(missing)</t>
        </is>
      </c>
      <c r="J6" s="4" t="n"/>
      <c r="K6" s="7" t="n">
        <v>2856466.22</v>
      </c>
      <c r="L6" s="12" t="n">
        <v>46296</v>
      </c>
      <c r="M6" s="4" t="n">
        <v>4</v>
      </c>
      <c r="N6" s="4" t="inlineStr">
        <is>
          <t>2-5d</t>
        </is>
      </c>
      <c r="O6" s="4" t="inlineStr">
        <is>
          <t>HIGH</t>
        </is>
      </c>
      <c r="P6" s="13" t="inlineStr">
        <is>
          <t>Trade exists on the platform but not at the custodian.</t>
        </is>
      </c>
      <c r="Q6" s="13" t="inlineStr">
        <is>
          <t>Confirm trade with counterparty; check allocation and send trade to custodian.</t>
        </is>
      </c>
    </row>
    <row r="7">
      <c r="A7" s="4" t="inlineStr">
        <is>
          <t>BRK-20261007-0015</t>
        </is>
      </c>
      <c r="B7" s="4" t="inlineStr">
        <is>
          <t>TRADE</t>
        </is>
      </c>
      <c r="C7" s="4" t="inlineStr">
        <is>
          <t>TRADE_SETTLE_DATE_MISMATCH</t>
        </is>
      </c>
      <c r="D7" s="4" t="inlineStr">
        <is>
          <t>Trade Accounting &amp; Operation</t>
        </is>
      </c>
      <c r="E7" s="4" t="inlineStr">
        <is>
          <t>FUND_GAMMA</t>
        </is>
      </c>
      <c r="F7" s="4" t="inlineStr">
        <is>
          <t>SEC007</t>
        </is>
      </c>
      <c r="G7" s="4" t="inlineStr">
        <is>
          <t>TRD100091</t>
        </is>
      </c>
      <c r="H7" s="4" t="inlineStr">
        <is>
          <t>2026-09-25</t>
        </is>
      </c>
      <c r="I7" s="4" t="inlineStr">
        <is>
          <t>2026-09-28</t>
        </is>
      </c>
      <c r="J7" s="4" t="n"/>
      <c r="K7" s="7" t="n">
        <v>2070628.38</v>
      </c>
      <c r="L7" s="12" t="n">
        <v>46290</v>
      </c>
      <c r="M7" s="4" t="n">
        <v>8</v>
      </c>
      <c r="N7" s="4" t="inlineStr">
        <is>
          <t>6-10d</t>
        </is>
      </c>
      <c r="O7" s="4" t="inlineStr">
        <is>
          <t>HIGH</t>
        </is>
      </c>
      <c r="P7" s="13" t="inlineStr">
        <is>
          <t>Settlement dates disagree; risk of a settlement fail.</t>
        </is>
      </c>
      <c r="Q7" s="13" t="inlineStr">
        <is>
          <t>Check SSI and settlement instructions; align settle date to avoid a fail.</t>
        </is>
      </c>
    </row>
    <row r="8">
      <c r="A8" s="4" t="inlineStr">
        <is>
          <t>BRK-20261007-0018</t>
        </is>
      </c>
      <c r="B8" s="4" t="inlineStr">
        <is>
          <t>TRADE</t>
        </is>
      </c>
      <c r="C8" s="4" t="inlineStr">
        <is>
          <t>TRADE_MISSING_IN_CUSTODIAN</t>
        </is>
      </c>
      <c r="D8" s="4" t="inlineStr">
        <is>
          <t>Trade Accounting &amp; Operation</t>
        </is>
      </c>
      <c r="E8" s="4" t="inlineStr">
        <is>
          <t>FUND_ALPHA</t>
        </is>
      </c>
      <c r="F8" s="4" t="inlineStr">
        <is>
          <t>SEC008</t>
        </is>
      </c>
      <c r="G8" s="4" t="inlineStr">
        <is>
          <t>TRD100027</t>
        </is>
      </c>
      <c r="H8" s="4" t="inlineStr">
        <is>
          <t>BUY 19,500 @ 76.9914</t>
        </is>
      </c>
      <c r="I8" s="4" t="inlineStr">
        <is>
          <t>(missing)</t>
        </is>
      </c>
      <c r="J8" s="4" t="n"/>
      <c r="K8" s="7" t="n">
        <v>1501332.3</v>
      </c>
      <c r="L8" s="12" t="n">
        <v>46289</v>
      </c>
      <c r="M8" s="4" t="n">
        <v>9</v>
      </c>
      <c r="N8" s="4" t="inlineStr">
        <is>
          <t>6-10d</t>
        </is>
      </c>
      <c r="O8" s="4" t="inlineStr">
        <is>
          <t>HIGH</t>
        </is>
      </c>
      <c r="P8" s="13" t="inlineStr">
        <is>
          <t>Trade exists on the platform but not at the custodian.</t>
        </is>
      </c>
      <c r="Q8" s="13" t="inlineStr">
        <is>
          <t>Confirm trade with counterparty; check allocation and send trade to custodian.</t>
        </is>
      </c>
    </row>
    <row r="9">
      <c r="A9" s="4" t="inlineStr">
        <is>
          <t>BRK-20261007-0019</t>
        </is>
      </c>
      <c r="B9" s="4" t="inlineStr">
        <is>
          <t>TRADE</t>
        </is>
      </c>
      <c r="C9" s="4" t="inlineStr">
        <is>
          <t>TRADE_MISSING_IN_INTERNAL</t>
        </is>
      </c>
      <c r="D9" s="4" t="inlineStr">
        <is>
          <t>Trade Accounting &amp; Operation</t>
        </is>
      </c>
      <c r="E9" s="4" t="inlineStr">
        <is>
          <t>FUND_ALPHA</t>
        </is>
      </c>
      <c r="F9" s="4" t="inlineStr">
        <is>
          <t>SEC011</t>
        </is>
      </c>
      <c r="G9" s="4" t="inlineStr">
        <is>
          <t>TRD90001</t>
        </is>
      </c>
      <c r="H9" s="4" t="inlineStr">
        <is>
          <t>(missing)</t>
        </is>
      </c>
      <c r="I9" s="4" t="inlineStr">
        <is>
          <t>SELL 3,800 @ 391.9242</t>
        </is>
      </c>
      <c r="J9" s="4" t="n"/>
      <c r="K9" s="7" t="n">
        <v>1489311.96</v>
      </c>
      <c r="L9" s="12" t="n">
        <v>46288</v>
      </c>
      <c r="M9" s="4" t="n">
        <v>10</v>
      </c>
      <c r="N9" s="4" t="inlineStr">
        <is>
          <t>6-10d</t>
        </is>
      </c>
      <c r="O9" s="4" t="inlineStr">
        <is>
          <t>HIGH</t>
        </is>
      </c>
      <c r="P9" s="13" t="inlineStr">
        <is>
          <t>Trade exists at the custodian but not on the platform.</t>
        </is>
      </c>
      <c r="Q9" s="13" t="inlineStr">
        <is>
          <t>Check for unbooked trade or wrong account; book trade or reject with custodian.</t>
        </is>
      </c>
    </row>
    <row r="10">
      <c r="A10" s="4" t="inlineStr">
        <is>
          <t>BRK-20261007-0020</t>
        </is>
      </c>
      <c r="B10" s="4" t="inlineStr">
        <is>
          <t>TRADE</t>
        </is>
      </c>
      <c r="C10" s="4" t="inlineStr">
        <is>
          <t>TRADE_SETTLE_DATE_MISMATCH</t>
        </is>
      </c>
      <c r="D10" s="4" t="inlineStr">
        <is>
          <t>Trade Accounting &amp; Operation</t>
        </is>
      </c>
      <c r="E10" s="4" t="inlineStr">
        <is>
          <t>FUND_ALPHA</t>
        </is>
      </c>
      <c r="F10" s="4" t="inlineStr">
        <is>
          <t>SEC022</t>
        </is>
      </c>
      <c r="G10" s="4" t="inlineStr">
        <is>
          <t>TRD100076</t>
        </is>
      </c>
      <c r="H10" s="4" t="inlineStr">
        <is>
          <t>2026-10-01</t>
        </is>
      </c>
      <c r="I10" s="4" t="inlineStr">
        <is>
          <t>2026-10-02</t>
        </is>
      </c>
      <c r="J10" s="4" t="n"/>
      <c r="K10" s="7" t="n">
        <v>1353702.35</v>
      </c>
      <c r="L10" s="12" t="n">
        <v>46296</v>
      </c>
      <c r="M10" s="4" t="n">
        <v>4</v>
      </c>
      <c r="N10" s="4" t="inlineStr">
        <is>
          <t>2-5d</t>
        </is>
      </c>
      <c r="O10" s="4" t="inlineStr">
        <is>
          <t>HIGH</t>
        </is>
      </c>
      <c r="P10" s="13" t="inlineStr">
        <is>
          <t>Settlement dates disagree; risk of a settlement fail.</t>
        </is>
      </c>
      <c r="Q10" s="13" t="inlineStr">
        <is>
          <t>Check SSI and settlement instructions; align settle date to avoid a fail.</t>
        </is>
      </c>
    </row>
    <row r="11">
      <c r="A11" s="4" t="inlineStr">
        <is>
          <t>BRK-20261007-0021</t>
        </is>
      </c>
      <c r="B11" s="4" t="inlineStr">
        <is>
          <t>TRADE</t>
        </is>
      </c>
      <c r="C11" s="4" t="inlineStr">
        <is>
          <t>TRADE_SETTLE_DATE_MISMATCH</t>
        </is>
      </c>
      <c r="D11" s="4" t="inlineStr">
        <is>
          <t>Trade Accounting &amp; Operation</t>
        </is>
      </c>
      <c r="E11" s="4" t="inlineStr">
        <is>
          <t>FUND_ALPHA</t>
        </is>
      </c>
      <c r="F11" s="4" t="inlineStr">
        <is>
          <t>SEC012</t>
        </is>
      </c>
      <c r="G11" s="4" t="inlineStr">
        <is>
          <t>TRD100157</t>
        </is>
      </c>
      <c r="H11" s="4" t="inlineStr">
        <is>
          <t>2026-09-28</t>
        </is>
      </c>
      <c r="I11" s="4" t="inlineStr">
        <is>
          <t>2026-09-29</t>
        </is>
      </c>
      <c r="J11" s="4" t="n"/>
      <c r="K11" s="7" t="n">
        <v>759163.03</v>
      </c>
      <c r="L11" s="12" t="n">
        <v>46293</v>
      </c>
      <c r="M11" s="4" t="n">
        <v>7</v>
      </c>
      <c r="N11" s="4" t="inlineStr">
        <is>
          <t>6-10d</t>
        </is>
      </c>
      <c r="O11" s="4" t="inlineStr">
        <is>
          <t>HIGH</t>
        </is>
      </c>
      <c r="P11" s="13" t="inlineStr">
        <is>
          <t>Settlement dates disagree; risk of a settlement fail.</t>
        </is>
      </c>
      <c r="Q11" s="13" t="inlineStr">
        <is>
          <t>Check SSI and settlement instructions; align settle date to avoid a fail.</t>
        </is>
      </c>
    </row>
    <row r="12">
      <c r="A12" s="4" t="inlineStr">
        <is>
          <t>BRK-20261007-0023</t>
        </is>
      </c>
      <c r="B12" s="4" t="inlineStr">
        <is>
          <t>TRADE</t>
        </is>
      </c>
      <c r="C12" s="4" t="inlineStr">
        <is>
          <t>TRADE_MISSING_IN_INTERNAL</t>
        </is>
      </c>
      <c r="D12" s="4" t="inlineStr">
        <is>
          <t>Trade Accounting &amp; Operation</t>
        </is>
      </c>
      <c r="E12" s="4" t="inlineStr">
        <is>
          <t>FUND_GAMMA</t>
        </is>
      </c>
      <c r="F12" s="4" t="inlineStr">
        <is>
          <t>SEC018</t>
        </is>
      </c>
      <c r="G12" s="4" t="inlineStr">
        <is>
          <t>TRD90000</t>
        </is>
      </c>
      <c r="H12" s="4" t="inlineStr">
        <is>
          <t>(missing)</t>
        </is>
      </c>
      <c r="I12" s="4" t="inlineStr">
        <is>
          <t>SELL 2,100 @ 226.0664</t>
        </is>
      </c>
      <c r="J12" s="4" t="n"/>
      <c r="K12" s="7" t="n">
        <v>474739.44</v>
      </c>
      <c r="L12" s="12" t="n">
        <v>46289</v>
      </c>
      <c r="M12" s="4" t="n">
        <v>9</v>
      </c>
      <c r="N12" s="4" t="inlineStr">
        <is>
          <t>6-10d</t>
        </is>
      </c>
      <c r="O12" s="4" t="inlineStr">
        <is>
          <t>MEDIUM</t>
        </is>
      </c>
      <c r="P12" s="13" t="inlineStr">
        <is>
          <t>Trade exists at the custodian but not on the platform.</t>
        </is>
      </c>
      <c r="Q12" s="13" t="inlineStr">
        <is>
          <t>Check for unbooked trade or wrong account; book trade or reject with custodian.</t>
        </is>
      </c>
    </row>
    <row r="13">
      <c r="A13" s="4" t="inlineStr">
        <is>
          <t>BRK-20261007-0025</t>
        </is>
      </c>
      <c r="B13" s="4" t="inlineStr">
        <is>
          <t>TRADE</t>
        </is>
      </c>
      <c r="C13" s="4" t="inlineStr">
        <is>
          <t>TRADE_MISSING_IN_INTERNAL</t>
        </is>
      </c>
      <c r="D13" s="4" t="inlineStr">
        <is>
          <t>Trade Accounting &amp; Operation</t>
        </is>
      </c>
      <c r="E13" s="4" t="inlineStr">
        <is>
          <t>FUND_ALPHA</t>
        </is>
      </c>
      <c r="F13" s="4" t="inlineStr">
        <is>
          <t>SEC019</t>
        </is>
      </c>
      <c r="G13" s="4" t="inlineStr">
        <is>
          <t>TRD90002</t>
        </is>
      </c>
      <c r="H13" s="4" t="inlineStr">
        <is>
          <t>(missing)</t>
        </is>
      </c>
      <c r="I13" s="4" t="inlineStr">
        <is>
          <t>BUY 3,600 @ 101.9549</t>
        </is>
      </c>
      <c r="J13" s="4" t="n"/>
      <c r="K13" s="7" t="n">
        <v>367037.64</v>
      </c>
      <c r="L13" s="12" t="n">
        <v>46297</v>
      </c>
      <c r="M13" s="4" t="n">
        <v>3</v>
      </c>
      <c r="N13" s="4" t="inlineStr">
        <is>
          <t>2-5d</t>
        </is>
      </c>
      <c r="O13" s="4" t="inlineStr">
        <is>
          <t>MEDIUM</t>
        </is>
      </c>
      <c r="P13" s="13" t="inlineStr">
        <is>
          <t>Trade exists at the custodian but not on the platform.</t>
        </is>
      </c>
      <c r="Q13" s="13" t="inlineStr">
        <is>
          <t>Check for unbooked trade or wrong account; book trade or reject with custodian.</t>
        </is>
      </c>
    </row>
    <row r="14">
      <c r="A14" s="4" t="inlineStr">
        <is>
          <t>BRK-20261007-0029</t>
        </is>
      </c>
      <c r="B14" s="4" t="inlineStr">
        <is>
          <t>TRADE</t>
        </is>
      </c>
      <c r="C14" s="4" t="inlineStr">
        <is>
          <t>TRADE_MISSING_IN_INTERNAL</t>
        </is>
      </c>
      <c r="D14" s="4" t="inlineStr">
        <is>
          <t>Trade Accounting &amp; Operation</t>
        </is>
      </c>
      <c r="E14" s="4" t="inlineStr">
        <is>
          <t>FUND_BETA</t>
        </is>
      </c>
      <c r="F14" s="4" t="inlineStr">
        <is>
          <t>SEC005</t>
        </is>
      </c>
      <c r="G14" s="4" t="inlineStr">
        <is>
          <t>TRD90003</t>
        </is>
      </c>
      <c r="H14" s="4" t="inlineStr">
        <is>
          <t>(missing)</t>
        </is>
      </c>
      <c r="I14" s="4" t="inlineStr">
        <is>
          <t>SELL 3,400 @ 42.5156</t>
        </is>
      </c>
      <c r="J14" s="4" t="n"/>
      <c r="K14" s="7" t="n">
        <v>144553.04</v>
      </c>
      <c r="L14" s="12" t="n">
        <v>46290</v>
      </c>
      <c r="M14" s="4" t="n">
        <v>8</v>
      </c>
      <c r="N14" s="4" t="inlineStr">
        <is>
          <t>6-10d</t>
        </is>
      </c>
      <c r="O14" s="4" t="inlineStr">
        <is>
          <t>MEDIUM</t>
        </is>
      </c>
      <c r="P14" s="13" t="inlineStr">
        <is>
          <t>Trade exists at the custodian but not on the platform.</t>
        </is>
      </c>
      <c r="Q14" s="13" t="inlineStr">
        <is>
          <t>Check for unbooked trade or wrong account; book trade or reject with custodian.</t>
        </is>
      </c>
    </row>
    <row r="15">
      <c r="A15" s="4" t="inlineStr">
        <is>
          <t>BRK-20261007-0032</t>
        </is>
      </c>
      <c r="B15" s="4" t="inlineStr">
        <is>
          <t>TRADE</t>
        </is>
      </c>
      <c r="C15" s="4" t="inlineStr">
        <is>
          <t>TRADE_PRICE_MISMATCH</t>
        </is>
      </c>
      <c r="D15" s="4" t="inlineStr">
        <is>
          <t>Trade Accounting &amp; Operation</t>
        </is>
      </c>
      <c r="E15" s="4" t="inlineStr">
        <is>
          <t>FUND_ALPHA</t>
        </is>
      </c>
      <c r="F15" s="4" t="inlineStr">
        <is>
          <t>SEC011</t>
        </is>
      </c>
      <c r="G15" s="4" t="inlineStr">
        <is>
          <t>TRD100089</t>
        </is>
      </c>
      <c r="H15" s="7" t="n">
        <v>393.472</v>
      </c>
      <c r="I15" s="7" t="n">
        <v>386.8956</v>
      </c>
      <c r="J15" s="7" t="n">
        <v>6.5764</v>
      </c>
      <c r="K15" s="7" t="n">
        <v>129555.0799999996</v>
      </c>
      <c r="L15" s="12" t="n">
        <v>46289</v>
      </c>
      <c r="M15" s="4" t="n">
        <v>9</v>
      </c>
      <c r="N15" s="4" t="inlineStr">
        <is>
          <t>6-10d</t>
        </is>
      </c>
      <c r="O15" s="4" t="inlineStr">
        <is>
          <t>MEDIUM</t>
        </is>
      </c>
      <c r="P15" s="13" t="inlineStr">
        <is>
          <t>Price differs by 170.0 bps (tolerance 1.0 bps).</t>
        </is>
      </c>
      <c r="Q15" s="13" t="inlineStr">
        <is>
          <t>Obtain broker confirm; correct price and book the P&amp;L / cash adjustment.</t>
        </is>
      </c>
    </row>
    <row r="16">
      <c r="A16" s="4" t="inlineStr">
        <is>
          <t>BRK-20261007-0034</t>
        </is>
      </c>
      <c r="B16" s="4" t="inlineStr">
        <is>
          <t>TRADE</t>
        </is>
      </c>
      <c r="C16" s="4" t="inlineStr">
        <is>
          <t>TRADE_MISSING_IN_CUSTODIAN</t>
        </is>
      </c>
      <c r="D16" s="4" t="inlineStr">
        <is>
          <t>Trade Accounting &amp; Operation</t>
        </is>
      </c>
      <c r="E16" s="4" t="inlineStr">
        <is>
          <t>FUND_BETA</t>
        </is>
      </c>
      <c r="F16" s="4" t="inlineStr">
        <is>
          <t>SEC003</t>
        </is>
      </c>
      <c r="G16" s="4" t="inlineStr">
        <is>
          <t>TRD100042</t>
        </is>
      </c>
      <c r="H16" s="4" t="inlineStr">
        <is>
          <t>BUY 700 @ 156.8701</t>
        </is>
      </c>
      <c r="I16" s="4" t="inlineStr">
        <is>
          <t>(missing)</t>
        </is>
      </c>
      <c r="J16" s="4" t="n"/>
      <c r="K16" s="7" t="n">
        <v>109809.07</v>
      </c>
      <c r="L16" s="12" t="n">
        <v>46297</v>
      </c>
      <c r="M16" s="4" t="n">
        <v>3</v>
      </c>
      <c r="N16" s="4" t="inlineStr">
        <is>
          <t>2-5d</t>
        </is>
      </c>
      <c r="O16" s="4" t="inlineStr">
        <is>
          <t>MEDIUM</t>
        </is>
      </c>
      <c r="P16" s="13" t="inlineStr">
        <is>
          <t>Trade exists on the platform but not at the custodian.</t>
        </is>
      </c>
      <c r="Q16" s="13" t="inlineStr">
        <is>
          <t>Confirm trade with counterparty; check allocation and send trade to custodian.</t>
        </is>
      </c>
    </row>
    <row r="17">
      <c r="A17" s="4" t="inlineStr">
        <is>
          <t>BRK-20261007-0035</t>
        </is>
      </c>
      <c r="B17" s="4" t="inlineStr">
        <is>
          <t>TRADE</t>
        </is>
      </c>
      <c r="C17" s="4" t="inlineStr">
        <is>
          <t>TRADE_QTY_MISMATCH</t>
        </is>
      </c>
      <c r="D17" s="4" t="inlineStr">
        <is>
          <t>Trade Accounting &amp; Operation</t>
        </is>
      </c>
      <c r="E17" s="4" t="inlineStr">
        <is>
          <t>FUND_BETA</t>
        </is>
      </c>
      <c r="F17" s="4" t="inlineStr">
        <is>
          <t>SEC020</t>
        </is>
      </c>
      <c r="G17" s="4" t="inlineStr">
        <is>
          <t>TRD100083</t>
        </is>
      </c>
      <c r="H17" s="7" t="n">
        <v>4000</v>
      </c>
      <c r="I17" s="7" t="n">
        <v>3100</v>
      </c>
      <c r="J17" s="7" t="n">
        <v>900</v>
      </c>
      <c r="K17" s="7" t="n">
        <v>96886.70999999999</v>
      </c>
      <c r="L17" s="12" t="n">
        <v>46294</v>
      </c>
      <c r="M17" s="4" t="n">
        <v>6</v>
      </c>
      <c r="N17" s="4" t="inlineStr">
        <is>
          <t>6-10d</t>
        </is>
      </c>
      <c r="O17" s="4" t="inlineStr">
        <is>
          <t>MEDIUM</t>
        </is>
      </c>
      <c r="P17" s="13" t="inlineStr">
        <is>
          <t>Quantity differs by 900.</t>
        </is>
      </c>
      <c r="Q17" s="13" t="inlineStr">
        <is>
          <t>Obtain broker confirm; correct quantity on the side that disagrees.</t>
        </is>
      </c>
    </row>
    <row r="18">
      <c r="A18" s="4" t="inlineStr">
        <is>
          <t>BRK-20261007-0036</t>
        </is>
      </c>
      <c r="B18" s="4" t="inlineStr">
        <is>
          <t>TRADE</t>
        </is>
      </c>
      <c r="C18" s="4" t="inlineStr">
        <is>
          <t>TRADE_PRICE_MISMATCH</t>
        </is>
      </c>
      <c r="D18" s="4" t="inlineStr">
        <is>
          <t>Trade Accounting &amp; Operation</t>
        </is>
      </c>
      <c r="E18" s="4" t="inlineStr">
        <is>
          <t>FUND_ALPHA</t>
        </is>
      </c>
      <c r="F18" s="4" t="inlineStr">
        <is>
          <t>SEC012</t>
        </is>
      </c>
      <c r="G18" s="4" t="inlineStr">
        <is>
          <t>TRD100056</t>
        </is>
      </c>
      <c r="H18" s="7" t="n">
        <v>242.8528</v>
      </c>
      <c r="I18" s="7" t="n">
        <v>238.0794</v>
      </c>
      <c r="J18" s="7" t="n">
        <v>4.7734</v>
      </c>
      <c r="K18" s="7" t="n">
        <v>84966.52000000016</v>
      </c>
      <c r="L18" s="12" t="n">
        <v>46302</v>
      </c>
      <c r="M18" s="4" t="n">
        <v>0</v>
      </c>
      <c r="N18" s="4" t="inlineStr">
        <is>
          <t>0-1d</t>
        </is>
      </c>
      <c r="O18" s="4" t="inlineStr">
        <is>
          <t>MEDIUM</t>
        </is>
      </c>
      <c r="P18" s="13" t="inlineStr">
        <is>
          <t>Price differs by 200.5 bps (tolerance 1.0 bps).</t>
        </is>
      </c>
      <c r="Q18" s="13" t="inlineStr">
        <is>
          <t>Obtain broker confirm; correct price and book the P&amp;L / cash adjustment.</t>
        </is>
      </c>
    </row>
    <row r="19">
      <c r="A19" s="4" t="inlineStr">
        <is>
          <t>BRK-20261007-0037</t>
        </is>
      </c>
      <c r="B19" s="4" t="inlineStr">
        <is>
          <t>TRADE</t>
        </is>
      </c>
      <c r="C19" s="4" t="inlineStr">
        <is>
          <t>TRADE_QTY_MISMATCH</t>
        </is>
      </c>
      <c r="D19" s="4" t="inlineStr">
        <is>
          <t>Trade Accounting &amp; Operation</t>
        </is>
      </c>
      <c r="E19" s="4" t="inlineStr">
        <is>
          <t>FUND_BETA</t>
        </is>
      </c>
      <c r="F19" s="4" t="inlineStr">
        <is>
          <t>SEC003</t>
        </is>
      </c>
      <c r="G19" s="4" t="inlineStr">
        <is>
          <t>TRD100166</t>
        </is>
      </c>
      <c r="H19" s="7" t="n">
        <v>16100</v>
      </c>
      <c r="I19" s="7" t="n">
        <v>15600</v>
      </c>
      <c r="J19" s="7" t="n">
        <v>500</v>
      </c>
      <c r="K19" s="7" t="n">
        <v>79324.65000000001</v>
      </c>
      <c r="L19" s="12" t="n">
        <v>46302</v>
      </c>
      <c r="M19" s="4" t="n">
        <v>0</v>
      </c>
      <c r="N19" s="4" t="inlineStr">
        <is>
          <t>0-1d</t>
        </is>
      </c>
      <c r="O19" s="4" t="inlineStr">
        <is>
          <t>MEDIUM</t>
        </is>
      </c>
      <c r="P19" s="13" t="inlineStr">
        <is>
          <t>Quantity differs by 500.</t>
        </is>
      </c>
      <c r="Q19" s="13" t="inlineStr">
        <is>
          <t>Obtain broker confirm; correct quantity on the side that disagrees.</t>
        </is>
      </c>
    </row>
    <row r="20">
      <c r="A20" s="4" t="inlineStr">
        <is>
          <t>BRK-20261007-0040</t>
        </is>
      </c>
      <c r="B20" s="4" t="inlineStr">
        <is>
          <t>TRADE</t>
        </is>
      </c>
      <c r="C20" s="4" t="inlineStr">
        <is>
          <t>TRADE_MISSING_IN_CUSTODIAN</t>
        </is>
      </c>
      <c r="D20" s="4" t="inlineStr">
        <is>
          <t>Trade Accounting &amp; Operation</t>
        </is>
      </c>
      <c r="E20" s="4" t="inlineStr">
        <is>
          <t>FUND_ALPHA</t>
        </is>
      </c>
      <c r="F20" s="4" t="inlineStr">
        <is>
          <t>SEC019</t>
        </is>
      </c>
      <c r="G20" s="4" t="inlineStr">
        <is>
          <t>TRD100284</t>
        </is>
      </c>
      <c r="H20" s="4" t="inlineStr">
        <is>
          <t>BUY 600 @ 102.1778</t>
        </is>
      </c>
      <c r="I20" s="4" t="inlineStr">
        <is>
          <t>(missing)</t>
        </is>
      </c>
      <c r="J20" s="4" t="n"/>
      <c r="K20" s="7" t="n">
        <v>61306.68</v>
      </c>
      <c r="L20" s="12" t="n">
        <v>46302</v>
      </c>
      <c r="M20" s="4" t="n">
        <v>0</v>
      </c>
      <c r="N20" s="4" t="inlineStr">
        <is>
          <t>0-1d</t>
        </is>
      </c>
      <c r="O20" s="4" t="inlineStr">
        <is>
          <t>MEDIUM</t>
        </is>
      </c>
      <c r="P20" s="13" t="inlineStr">
        <is>
          <t>Trade exists on the platform but not at the custodian.</t>
        </is>
      </c>
      <c r="Q20" s="13" t="inlineStr">
        <is>
          <t>Confirm trade with counterparty; check allocation and send trade to custodian.</t>
        </is>
      </c>
    </row>
    <row r="21">
      <c r="A21" s="4" t="inlineStr">
        <is>
          <t>BRK-20261007-0041</t>
        </is>
      </c>
      <c r="B21" s="4" t="inlineStr">
        <is>
          <t>TRADE</t>
        </is>
      </c>
      <c r="C21" s="4" t="inlineStr">
        <is>
          <t>TRADE_QTY_MISMATCH</t>
        </is>
      </c>
      <c r="D21" s="4" t="inlineStr">
        <is>
          <t>Trade Accounting &amp; Operation</t>
        </is>
      </c>
      <c r="E21" s="4" t="inlineStr">
        <is>
          <t>FUND_ALPHA</t>
        </is>
      </c>
      <c r="F21" s="4" t="inlineStr">
        <is>
          <t>SEC019</t>
        </is>
      </c>
      <c r="G21" s="4" t="inlineStr">
        <is>
          <t>TRD100230</t>
        </is>
      </c>
      <c r="H21" s="7" t="n">
        <v>19900</v>
      </c>
      <c r="I21" s="7" t="n">
        <v>20400</v>
      </c>
      <c r="J21" s="7" t="n">
        <v>-500</v>
      </c>
      <c r="K21" s="7" t="n">
        <v>50923.3</v>
      </c>
      <c r="L21" s="12" t="n">
        <v>46300</v>
      </c>
      <c r="M21" s="4" t="n">
        <v>2</v>
      </c>
      <c r="N21" s="4" t="inlineStr">
        <is>
          <t>2-5d</t>
        </is>
      </c>
      <c r="O21" s="4" t="inlineStr">
        <is>
          <t>MEDIUM</t>
        </is>
      </c>
      <c r="P21" s="13" t="inlineStr">
        <is>
          <t>Quantity differs by 500.</t>
        </is>
      </c>
      <c r="Q21" s="13" t="inlineStr">
        <is>
          <t>Obtain broker confirm; correct quantity on the side that disagrees.</t>
        </is>
      </c>
    </row>
    <row r="22">
      <c r="A22" s="4" t="inlineStr">
        <is>
          <t>BRK-20261007-0042</t>
        </is>
      </c>
      <c r="B22" s="4" t="inlineStr">
        <is>
          <t>TRADE</t>
        </is>
      </c>
      <c r="C22" s="4" t="inlineStr">
        <is>
          <t>TRADE_QTY_MISMATCH</t>
        </is>
      </c>
      <c r="D22" s="4" t="inlineStr">
        <is>
          <t>Trade Accounting &amp; Operation</t>
        </is>
      </c>
      <c r="E22" s="4" t="inlineStr">
        <is>
          <t>FUND_BETA</t>
        </is>
      </c>
      <c r="F22" s="4" t="inlineStr">
        <is>
          <t>SEC016</t>
        </is>
      </c>
      <c r="G22" s="4" t="inlineStr">
        <is>
          <t>TRD100058</t>
        </is>
      </c>
      <c r="H22" s="7" t="n">
        <v>18400</v>
      </c>
      <c r="I22" s="7" t="n">
        <v>19000</v>
      </c>
      <c r="J22" s="7" t="n">
        <v>-600</v>
      </c>
      <c r="K22" s="7" t="n">
        <v>49406.28</v>
      </c>
      <c r="L22" s="12" t="n">
        <v>46289</v>
      </c>
      <c r="M22" s="4" t="n">
        <v>9</v>
      </c>
      <c r="N22" s="4" t="inlineStr">
        <is>
          <t>6-10d</t>
        </is>
      </c>
      <c r="O22" s="4" t="inlineStr">
        <is>
          <t>LOW</t>
        </is>
      </c>
      <c r="P22" s="13" t="inlineStr">
        <is>
          <t>Quantity differs by 600.</t>
        </is>
      </c>
      <c r="Q22" s="13" t="inlineStr">
        <is>
          <t>Obtain broker confirm; correct quantity on the side that disagrees.</t>
        </is>
      </c>
    </row>
    <row r="23">
      <c r="A23" s="4" t="inlineStr">
        <is>
          <t>BRK-20261007-0044</t>
        </is>
      </c>
      <c r="B23" s="4" t="inlineStr">
        <is>
          <t>TRADE</t>
        </is>
      </c>
      <c r="C23" s="4" t="inlineStr">
        <is>
          <t>TRADE_QTY_MISMATCH</t>
        </is>
      </c>
      <c r="D23" s="4" t="inlineStr">
        <is>
          <t>Trade Accounting &amp; Operation</t>
        </is>
      </c>
      <c r="E23" s="4" t="inlineStr">
        <is>
          <t>FUND_GAMMA</t>
        </is>
      </c>
      <c r="F23" s="4" t="inlineStr">
        <is>
          <t>SEC022</t>
        </is>
      </c>
      <c r="G23" s="4" t="inlineStr">
        <is>
          <t>TRD100262</t>
        </is>
      </c>
      <c r="H23" s="7" t="n">
        <v>18600</v>
      </c>
      <c r="I23" s="7" t="n">
        <v>18200</v>
      </c>
      <c r="J23" s="7" t="n">
        <v>400</v>
      </c>
      <c r="K23" s="7" t="n">
        <v>37947.88</v>
      </c>
      <c r="L23" s="12" t="n">
        <v>46300</v>
      </c>
      <c r="M23" s="4" t="n">
        <v>2</v>
      </c>
      <c r="N23" s="4" t="inlineStr">
        <is>
          <t>2-5d</t>
        </is>
      </c>
      <c r="O23" s="4" t="inlineStr">
        <is>
          <t>LOW</t>
        </is>
      </c>
      <c r="P23" s="13" t="inlineStr">
        <is>
          <t>Quantity differs by 400.</t>
        </is>
      </c>
      <c r="Q23" s="13" t="inlineStr">
        <is>
          <t>Obtain broker confirm; correct quantity on the side that disagrees.</t>
        </is>
      </c>
    </row>
    <row r="24">
      <c r="A24" s="4" t="inlineStr">
        <is>
          <t>BRK-20261007-0046</t>
        </is>
      </c>
      <c r="B24" s="4" t="inlineStr">
        <is>
          <t>TRADE</t>
        </is>
      </c>
      <c r="C24" s="4" t="inlineStr">
        <is>
          <t>TRADE_QTY_MISMATCH</t>
        </is>
      </c>
      <c r="D24" s="4" t="inlineStr">
        <is>
          <t>Trade Accounting &amp; Operation</t>
        </is>
      </c>
      <c r="E24" s="4" t="inlineStr">
        <is>
          <t>FUND_BETA</t>
        </is>
      </c>
      <c r="F24" s="4" t="inlineStr">
        <is>
          <t>SEC020</t>
        </is>
      </c>
      <c r="G24" s="4" t="inlineStr">
        <is>
          <t>TRD100153</t>
        </is>
      </c>
      <c r="H24" s="7" t="n">
        <v>2500</v>
      </c>
      <c r="I24" s="7" t="n">
        <v>2200</v>
      </c>
      <c r="J24" s="7" t="n">
        <v>300</v>
      </c>
      <c r="K24" s="7" t="n">
        <v>32125.17</v>
      </c>
      <c r="L24" s="12" t="n">
        <v>46294</v>
      </c>
      <c r="M24" s="4" t="n">
        <v>6</v>
      </c>
      <c r="N24" s="4" t="inlineStr">
        <is>
          <t>6-10d</t>
        </is>
      </c>
      <c r="O24" s="4" t="inlineStr">
        <is>
          <t>LOW</t>
        </is>
      </c>
      <c r="P24" s="13" t="inlineStr">
        <is>
          <t>Quantity differs by 300.</t>
        </is>
      </c>
      <c r="Q24" s="13" t="inlineStr">
        <is>
          <t>Obtain broker confirm; correct quantity on the side that disagrees.</t>
        </is>
      </c>
    </row>
    <row r="25">
      <c r="A25" s="4" t="inlineStr">
        <is>
          <t>BRK-20261007-0048</t>
        </is>
      </c>
      <c r="B25" s="4" t="inlineStr">
        <is>
          <t>TRADE</t>
        </is>
      </c>
      <c r="C25" s="4" t="inlineStr">
        <is>
          <t>TRADE_PRICE_MISMATCH</t>
        </is>
      </c>
      <c r="D25" s="4" t="inlineStr">
        <is>
          <t>Trade Accounting &amp; Operation</t>
        </is>
      </c>
      <c r="E25" s="4" t="inlineStr">
        <is>
          <t>FUND_ALPHA</t>
        </is>
      </c>
      <c r="F25" s="4" t="inlineStr">
        <is>
          <t>SEC018</t>
        </is>
      </c>
      <c r="G25" s="4" t="inlineStr">
        <is>
          <t>TRD100015</t>
        </is>
      </c>
      <c r="H25" s="7" t="n">
        <v>224.776</v>
      </c>
      <c r="I25" s="7" t="n">
        <v>227.7121</v>
      </c>
      <c r="J25" s="7" t="n">
        <v>-2.9361</v>
      </c>
      <c r="K25" s="7" t="n">
        <v>28480.16999999982</v>
      </c>
      <c r="L25" s="12" t="n">
        <v>46293</v>
      </c>
      <c r="M25" s="4" t="n">
        <v>7</v>
      </c>
      <c r="N25" s="4" t="inlineStr">
        <is>
          <t>6-10d</t>
        </is>
      </c>
      <c r="O25" s="4" t="inlineStr">
        <is>
          <t>LOW</t>
        </is>
      </c>
      <c r="P25" s="13" t="inlineStr">
        <is>
          <t>Price differs by 128.9 bps (tolerance 1.0 bps).</t>
        </is>
      </c>
      <c r="Q25" s="13" t="inlineStr">
        <is>
          <t>Obtain broker confirm; correct price and book the P&amp;L / cash adjustment.</t>
        </is>
      </c>
    </row>
    <row r="26">
      <c r="A26" s="4" t="inlineStr">
        <is>
          <t>BRK-20261007-0050</t>
        </is>
      </c>
      <c r="B26" s="4" t="inlineStr">
        <is>
          <t>TRADE</t>
        </is>
      </c>
      <c r="C26" s="4" t="inlineStr">
        <is>
          <t>TRADE_QTY_MISMATCH</t>
        </is>
      </c>
      <c r="D26" s="4" t="inlineStr">
        <is>
          <t>Trade Accounting &amp; Operation</t>
        </is>
      </c>
      <c r="E26" s="4" t="inlineStr">
        <is>
          <t>FUND_BETA</t>
        </is>
      </c>
      <c r="F26" s="4" t="inlineStr">
        <is>
          <t>SEC008</t>
        </is>
      </c>
      <c r="G26" s="4" t="inlineStr">
        <is>
          <t>TRD100179</t>
        </is>
      </c>
      <c r="H26" s="7" t="n">
        <v>10000</v>
      </c>
      <c r="I26" s="7" t="n">
        <v>10300</v>
      </c>
      <c r="J26" s="7" t="n">
        <v>-300</v>
      </c>
      <c r="K26" s="7" t="n">
        <v>23075.97</v>
      </c>
      <c r="L26" s="12" t="n">
        <v>46293</v>
      </c>
      <c r="M26" s="4" t="n">
        <v>7</v>
      </c>
      <c r="N26" s="4" t="inlineStr">
        <is>
          <t>6-10d</t>
        </is>
      </c>
      <c r="O26" s="4" t="inlineStr">
        <is>
          <t>LOW</t>
        </is>
      </c>
      <c r="P26" s="13" t="inlineStr">
        <is>
          <t>Quantity differs by 300.</t>
        </is>
      </c>
      <c r="Q26" s="13" t="inlineStr">
        <is>
          <t>Obtain broker confirm; correct quantity on the side that disagrees.</t>
        </is>
      </c>
    </row>
    <row r="27">
      <c r="A27" s="4" t="inlineStr">
        <is>
          <t>BRK-20261007-0051</t>
        </is>
      </c>
      <c r="B27" s="4" t="inlineStr">
        <is>
          <t>TRADE</t>
        </is>
      </c>
      <c r="C27" s="4" t="inlineStr">
        <is>
          <t>TRADE_PRICE_MISMATCH</t>
        </is>
      </c>
      <c r="D27" s="4" t="inlineStr">
        <is>
          <t>Trade Accounting &amp; Operation</t>
        </is>
      </c>
      <c r="E27" s="4" t="inlineStr">
        <is>
          <t>FUND_ALPHA</t>
        </is>
      </c>
      <c r="F27" s="4" t="inlineStr">
        <is>
          <t>SEC002</t>
        </is>
      </c>
      <c r="G27" s="4" t="inlineStr">
        <is>
          <t>TRD100169</t>
        </is>
      </c>
      <c r="H27" s="7" t="n">
        <v>352.6565</v>
      </c>
      <c r="I27" s="7" t="n">
        <v>354.6241</v>
      </c>
      <c r="J27" s="7" t="n">
        <v>-1.9676</v>
      </c>
      <c r="K27" s="7" t="n">
        <v>19872.76000000005</v>
      </c>
      <c r="L27" s="12" t="n">
        <v>46300</v>
      </c>
      <c r="M27" s="4" t="n">
        <v>2</v>
      </c>
      <c r="N27" s="4" t="inlineStr">
        <is>
          <t>2-5d</t>
        </is>
      </c>
      <c r="O27" s="4" t="inlineStr">
        <is>
          <t>LOW</t>
        </is>
      </c>
      <c r="P27" s="13" t="inlineStr">
        <is>
          <t>Price differs by 55.5 bps (tolerance 1.0 bps).</t>
        </is>
      </c>
      <c r="Q27" s="13" t="inlineStr">
        <is>
          <t>Obtain broker confirm; correct price and book the P&amp;L / cash adjustment.</t>
        </is>
      </c>
    </row>
    <row r="28">
      <c r="A28" s="4" t="inlineStr">
        <is>
          <t>BRK-20261007-0052</t>
        </is>
      </c>
      <c r="B28" s="4" t="inlineStr">
        <is>
          <t>TRADE</t>
        </is>
      </c>
      <c r="C28" s="4" t="inlineStr">
        <is>
          <t>TRADE_PRICE_MISMATCH</t>
        </is>
      </c>
      <c r="D28" s="4" t="inlineStr">
        <is>
          <t>Trade Accounting &amp; Operation</t>
        </is>
      </c>
      <c r="E28" s="4" t="inlineStr">
        <is>
          <t>FUND_GAMMA</t>
        </is>
      </c>
      <c r="F28" s="4" t="inlineStr">
        <is>
          <t>SEC017</t>
        </is>
      </c>
      <c r="G28" s="4" t="inlineStr">
        <is>
          <t>TRD100276</t>
        </is>
      </c>
      <c r="H28" s="7" t="n">
        <v>103.547</v>
      </c>
      <c r="I28" s="7" t="n">
        <v>102.4729</v>
      </c>
      <c r="J28" s="7" t="n">
        <v>1.0741</v>
      </c>
      <c r="K28" s="7" t="n">
        <v>19333.80000000002</v>
      </c>
      <c r="L28" s="12" t="n">
        <v>46300</v>
      </c>
      <c r="M28" s="4" t="n">
        <v>2</v>
      </c>
      <c r="N28" s="4" t="inlineStr">
        <is>
          <t>2-5d</t>
        </is>
      </c>
      <c r="O28" s="4" t="inlineStr">
        <is>
          <t>LOW</t>
        </is>
      </c>
      <c r="P28" s="13" t="inlineStr">
        <is>
          <t>Price differs by 104.8 bps (tolerance 1.0 bps).</t>
        </is>
      </c>
      <c r="Q28" s="13" t="inlineStr">
        <is>
          <t>Obtain broker confirm; correct price and book the P&amp;L / cash adjustment.</t>
        </is>
      </c>
    </row>
    <row r="29">
      <c r="A29" s="4" t="inlineStr">
        <is>
          <t>BRK-20261007-0053</t>
        </is>
      </c>
      <c r="B29" s="4" t="inlineStr">
        <is>
          <t>TRADE</t>
        </is>
      </c>
      <c r="C29" s="4" t="inlineStr">
        <is>
          <t>TRADE_PRICE_MISMATCH</t>
        </is>
      </c>
      <c r="D29" s="4" t="inlineStr">
        <is>
          <t>Trade Accounting &amp; Operation</t>
        </is>
      </c>
      <c r="E29" s="4" t="inlineStr">
        <is>
          <t>FUND_ALPHA</t>
        </is>
      </c>
      <c r="F29" s="4" t="inlineStr">
        <is>
          <t>SEC015</t>
        </is>
      </c>
      <c r="G29" s="4" t="inlineStr">
        <is>
          <t>TRD100205</t>
        </is>
      </c>
      <c r="H29" s="7" t="n">
        <v>215.7184</v>
      </c>
      <c r="I29" s="7" t="n">
        <v>214.5996</v>
      </c>
      <c r="J29" s="7" t="n">
        <v>1.1188</v>
      </c>
      <c r="K29" s="7" t="n">
        <v>19243.35999999988</v>
      </c>
      <c r="L29" s="12" t="n">
        <v>46293</v>
      </c>
      <c r="M29" s="4" t="n">
        <v>7</v>
      </c>
      <c r="N29" s="4" t="inlineStr">
        <is>
          <t>6-10d</t>
        </is>
      </c>
      <c r="O29" s="4" t="inlineStr">
        <is>
          <t>LOW</t>
        </is>
      </c>
      <c r="P29" s="13" t="inlineStr">
        <is>
          <t>Price differs by 52.1 bps (tolerance 1.0 bps).</t>
        </is>
      </c>
      <c r="Q29" s="13" t="inlineStr">
        <is>
          <t>Obtain broker confirm; correct price and book the P&amp;L / cash adjustment.</t>
        </is>
      </c>
    </row>
    <row r="30">
      <c r="A30" s="4" t="inlineStr">
        <is>
          <t>BRK-20261007-0055</t>
        </is>
      </c>
      <c r="B30" s="4" t="inlineStr">
        <is>
          <t>TRADE</t>
        </is>
      </c>
      <c r="C30" s="4" t="inlineStr">
        <is>
          <t>TRADE_PRICE_MISMATCH</t>
        </is>
      </c>
      <c r="D30" s="4" t="inlineStr">
        <is>
          <t>Trade Accounting &amp; Operation</t>
        </is>
      </c>
      <c r="E30" s="4" t="inlineStr">
        <is>
          <t>FUND_BETA</t>
        </is>
      </c>
      <c r="F30" s="4" t="inlineStr">
        <is>
          <t>SEC022</t>
        </is>
      </c>
      <c r="G30" s="4" t="inlineStr">
        <is>
          <t>TRD100297</t>
        </is>
      </c>
      <c r="H30" s="7" t="n">
        <v>94.44499999999999</v>
      </c>
      <c r="I30" s="7" t="n">
        <v>93.4577</v>
      </c>
      <c r="J30" s="7" t="n">
        <v>0.9873</v>
      </c>
      <c r="K30" s="7" t="n">
        <v>14217.11999999986</v>
      </c>
      <c r="L30" s="12" t="n">
        <v>46293</v>
      </c>
      <c r="M30" s="4" t="n">
        <v>7</v>
      </c>
      <c r="N30" s="4" t="inlineStr">
        <is>
          <t>6-10d</t>
        </is>
      </c>
      <c r="O30" s="4" t="inlineStr">
        <is>
          <t>LOW</t>
        </is>
      </c>
      <c r="P30" s="13" t="inlineStr">
        <is>
          <t>Price differs by 105.6 bps (tolerance 1.0 bps).</t>
        </is>
      </c>
      <c r="Q30" s="13" t="inlineStr">
        <is>
          <t>Obtain broker confirm; correct price and book the P&amp;L / cash adjustment.</t>
        </is>
      </c>
    </row>
    <row r="31">
      <c r="A31" s="4" t="inlineStr">
        <is>
          <t>BRK-20261007-0058</t>
        </is>
      </c>
      <c r="B31" s="4" t="inlineStr">
        <is>
          <t>TRADE</t>
        </is>
      </c>
      <c r="C31" s="4" t="inlineStr">
        <is>
          <t>TRADE_QTY_MISMATCH</t>
        </is>
      </c>
      <c r="D31" s="4" t="inlineStr">
        <is>
          <t>Trade Accounting &amp; Operation</t>
        </is>
      </c>
      <c r="E31" s="4" t="inlineStr">
        <is>
          <t>FUND_ALPHA</t>
        </is>
      </c>
      <c r="F31" s="4" t="inlineStr">
        <is>
          <t>SEC022</t>
        </is>
      </c>
      <c r="G31" s="4" t="inlineStr">
        <is>
          <t>TRD100131</t>
        </is>
      </c>
      <c r="H31" s="7" t="n">
        <v>4400</v>
      </c>
      <c r="I31" s="7" t="n">
        <v>4300</v>
      </c>
      <c r="J31" s="7" t="n">
        <v>100</v>
      </c>
      <c r="K31" s="7" t="n">
        <v>9425.029999999999</v>
      </c>
      <c r="L31" s="12" t="n">
        <v>46302</v>
      </c>
      <c r="M31" s="4" t="n">
        <v>0</v>
      </c>
      <c r="N31" s="4" t="inlineStr">
        <is>
          <t>0-1d</t>
        </is>
      </c>
      <c r="O31" s="4" t="inlineStr">
        <is>
          <t>LOW</t>
        </is>
      </c>
      <c r="P31" s="13" t="inlineStr">
        <is>
          <t>Quantity differs by 100.</t>
        </is>
      </c>
      <c r="Q31" s="13" t="inlineStr">
        <is>
          <t>Obtain broker confirm; correct quantity on the side that disagrees.</t>
        </is>
      </c>
    </row>
    <row r="32">
      <c r="A32" s="4" t="inlineStr">
        <is>
          <t>BRK-20261007-0060</t>
        </is>
      </c>
      <c r="B32" s="4" t="inlineStr">
        <is>
          <t>TRADE</t>
        </is>
      </c>
      <c r="C32" s="4" t="inlineStr">
        <is>
          <t>TRADE_PRICE_MISMATCH</t>
        </is>
      </c>
      <c r="D32" s="4" t="inlineStr">
        <is>
          <t>Trade Accounting &amp; Operation</t>
        </is>
      </c>
      <c r="E32" s="4" t="inlineStr">
        <is>
          <t>FUND_ALPHA</t>
        </is>
      </c>
      <c r="F32" s="4" t="inlineStr">
        <is>
          <t>SEC022</t>
        </is>
      </c>
      <c r="G32" s="4" t="inlineStr">
        <is>
          <t>TRD100248</t>
        </is>
      </c>
      <c r="H32" s="7" t="n">
        <v>95.1973</v>
      </c>
      <c r="I32" s="7" t="n">
        <v>94.07559999999999</v>
      </c>
      <c r="J32" s="7" t="n">
        <v>1.1217</v>
      </c>
      <c r="K32" s="7" t="n">
        <v>897.3600000000033</v>
      </c>
      <c r="L32" s="12" t="n">
        <v>46301</v>
      </c>
      <c r="M32" s="4" t="n">
        <v>1</v>
      </c>
      <c r="N32" s="4" t="inlineStr">
        <is>
          <t>0-1d</t>
        </is>
      </c>
      <c r="O32" s="4" t="inlineStr">
        <is>
          <t>LOW</t>
        </is>
      </c>
      <c r="P32" s="13" t="inlineStr">
        <is>
          <t>Price differs by 119.2 bps (tolerance 1.0 bps).</t>
        </is>
      </c>
      <c r="Q32" s="13" t="inlineStr">
        <is>
          <t>Obtain broker confirm; correct price and book the P&amp;L / cash adjustment.</t>
        </is>
      </c>
    </row>
  </sheetData>
  <autoFilter ref="A1:Q32"/>
  <conditionalFormatting sqref="O2:O32">
    <cfRule type="cellIs" priority="1" operator="equal" dxfId="1">
      <formula>"HIGH"</formula>
    </cfRule>
    <cfRule type="cellIs" priority="2" operator="equal" dxfId="2">
      <formula>"MEDIUM"</formula>
    </cfRule>
    <cfRule type="cellIs" priority="3" operator="equal" dxfId="3">
      <formula>"LOW"</formula>
    </cfRule>
  </conditionalFormatting>
  <conditionalFormatting sqref="M2:M32">
    <cfRule type="cellIs" priority="4" operator="greaterThan" dxfId="4">
      <formula>5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36" customWidth="1" min="3" max="3"/>
    <col width="28" customWidth="1" min="4" max="4"/>
    <col width="13" customWidth="1" min="5" max="5"/>
    <col width="12" customWidth="1" min="6" max="6"/>
    <col width="24" customWidth="1" min="7" max="7"/>
    <col width="22" customWidth="1" min="8" max="8"/>
    <col width="22" customWidth="1" min="9" max="9"/>
    <col width="14" customWidth="1" min="10" max="10"/>
    <col width="16" customWidth="1" min="11" max="11"/>
    <col width="14" customWidth="1" min="12" max="12"/>
    <col width="9" customWidth="1" min="13" max="13"/>
    <col width="11" customWidth="1" min="14" max="14"/>
    <col width="10" customWidth="1" min="15" max="15"/>
    <col width="70" customWidth="1" min="16" max="16"/>
    <col width="70" customWidth="1" min="17" max="17"/>
  </cols>
  <sheetData>
    <row r="1" ht="30" customHeight="1">
      <c r="A1" s="11" t="inlineStr">
        <is>
          <t>Break Id</t>
        </is>
      </c>
      <c r="B1" s="11" t="inlineStr">
        <is>
          <t>Category</t>
        </is>
      </c>
      <c r="C1" s="11" t="inlineStr">
        <is>
          <t>Break Type</t>
        </is>
      </c>
      <c r="D1" s="11" t="inlineStr">
        <is>
          <t>Owner Team</t>
        </is>
      </c>
      <c r="E1" s="11" t="inlineStr">
        <is>
          <t>Account</t>
        </is>
      </c>
      <c r="F1" s="11" t="inlineStr">
        <is>
          <t>Security Id</t>
        </is>
      </c>
      <c r="G1" s="11" t="inlineStr">
        <is>
          <t>Reference</t>
        </is>
      </c>
      <c r="H1" s="11" t="inlineStr">
        <is>
          <t>Internal Value</t>
        </is>
      </c>
      <c r="I1" s="11" t="inlineStr">
        <is>
          <t>Custodian Value</t>
        </is>
      </c>
      <c r="J1" s="11" t="inlineStr">
        <is>
          <t>Difference</t>
        </is>
      </c>
      <c r="K1" s="11" t="inlineStr">
        <is>
          <t>Notional Usd</t>
        </is>
      </c>
      <c r="L1" s="11" t="inlineStr">
        <is>
          <t>Reference Date</t>
        </is>
      </c>
      <c r="M1" s="11" t="inlineStr">
        <is>
          <t>Age Days</t>
        </is>
      </c>
      <c r="N1" s="11" t="inlineStr">
        <is>
          <t>Age Bucket</t>
        </is>
      </c>
      <c r="O1" s="11" t="inlineStr">
        <is>
          <t>Severity</t>
        </is>
      </c>
      <c r="P1" s="11" t="inlineStr">
        <is>
          <t>Explanation</t>
        </is>
      </c>
      <c r="Q1" s="11" t="inlineStr">
        <is>
          <t>Suggested Action</t>
        </is>
      </c>
    </row>
    <row r="2">
      <c r="A2" s="4" t="inlineStr">
        <is>
          <t>BRK-20261007-0001</t>
        </is>
      </c>
      <c r="B2" s="4" t="inlineStr">
        <is>
          <t>POSITION</t>
        </is>
      </c>
      <c r="C2" s="4" t="inlineStr">
        <is>
          <t>POSITION_BREAK_CORP_ACTION_SPLIT</t>
        </is>
      </c>
      <c r="D2" s="4" t="inlineStr">
        <is>
          <t>Middle Office</t>
        </is>
      </c>
      <c r="E2" s="4" t="inlineStr">
        <is>
          <t>FUND_GAMMA</t>
        </is>
      </c>
      <c r="F2" s="4" t="inlineStr">
        <is>
          <t>SEC009</t>
        </is>
      </c>
      <c r="G2" s="4" t="inlineStr">
        <is>
          <t>FUND_GAMMA|SEC009</t>
        </is>
      </c>
      <c r="H2" s="7" t="n">
        <v>37000</v>
      </c>
      <c r="I2" s="7" t="n">
        <v>74000</v>
      </c>
      <c r="J2" s="7" t="n">
        <v>-37000</v>
      </c>
      <c r="K2" s="7" t="n">
        <v>12218535.9</v>
      </c>
      <c r="L2" s="12" t="n">
        <v>46302</v>
      </c>
      <c r="M2" s="4" t="n">
        <v>0</v>
      </c>
      <c r="N2" s="4" t="inlineStr">
        <is>
          <t>0-1d</t>
        </is>
      </c>
      <c r="O2" s="4" t="inlineStr">
        <is>
          <t>HIGH</t>
        </is>
      </c>
      <c r="P2" s="13" t="inlineStr">
        <is>
          <t>Custodian quantity is exactly 2x the platform: 2-for-1 split not booked on the platform.</t>
        </is>
      </c>
      <c r="Q2" s="13" t="inlineStr">
        <is>
          <t>Book the split on the platform (ratio and ex-date) and re-run.</t>
        </is>
      </c>
    </row>
    <row r="3">
      <c r="A3" s="4" t="inlineStr">
        <is>
          <t>BRK-20261007-0002</t>
        </is>
      </c>
      <c r="B3" s="4" t="inlineStr">
        <is>
          <t>POSITION</t>
        </is>
      </c>
      <c r="C3" s="4" t="inlineStr">
        <is>
          <t>POSITION_BREAK_CORP_ACTION_SPLIT</t>
        </is>
      </c>
      <c r="D3" s="4" t="inlineStr">
        <is>
          <t>Middle Office</t>
        </is>
      </c>
      <c r="E3" s="4" t="inlineStr">
        <is>
          <t>FUND_ALPHA</t>
        </is>
      </c>
      <c r="F3" s="4" t="inlineStr">
        <is>
          <t>SEC009</t>
        </is>
      </c>
      <c r="G3" s="4" t="inlineStr">
        <is>
          <t>FUND_ALPHA|SEC009</t>
        </is>
      </c>
      <c r="H3" s="7" t="n">
        <v>31600</v>
      </c>
      <c r="I3" s="7" t="n">
        <v>63200</v>
      </c>
      <c r="J3" s="7" t="n">
        <v>-31600</v>
      </c>
      <c r="K3" s="7" t="n">
        <v>10435290.12</v>
      </c>
      <c r="L3" s="12" t="n">
        <v>46302</v>
      </c>
      <c r="M3" s="4" t="n">
        <v>0</v>
      </c>
      <c r="N3" s="4" t="inlineStr">
        <is>
          <t>0-1d</t>
        </is>
      </c>
      <c r="O3" s="4" t="inlineStr">
        <is>
          <t>HIGH</t>
        </is>
      </c>
      <c r="P3" s="13" t="inlineStr">
        <is>
          <t>Custodian quantity is exactly 2x the platform: 2-for-1 split not booked on the platform.</t>
        </is>
      </c>
      <c r="Q3" s="13" t="inlineStr">
        <is>
          <t>Book the split on the platform (ratio and ex-date) and re-run.</t>
        </is>
      </c>
    </row>
    <row r="4">
      <c r="A4" s="4" t="inlineStr">
        <is>
          <t>BRK-20261007-0003</t>
        </is>
      </c>
      <c r="B4" s="4" t="inlineStr">
        <is>
          <t>POSITION</t>
        </is>
      </c>
      <c r="C4" s="4" t="inlineStr">
        <is>
          <t>POSITION_BREAK_CORP_ACTION_SPLIT</t>
        </is>
      </c>
      <c r="D4" s="4" t="inlineStr">
        <is>
          <t>Middle Office</t>
        </is>
      </c>
      <c r="E4" s="4" t="inlineStr">
        <is>
          <t>FUND_BETA</t>
        </is>
      </c>
      <c r="F4" s="4" t="inlineStr">
        <is>
          <t>SEC009</t>
        </is>
      </c>
      <c r="G4" s="4" t="inlineStr">
        <is>
          <t>FUND_BETA|SEC009</t>
        </is>
      </c>
      <c r="H4" s="7" t="n">
        <v>-25600</v>
      </c>
      <c r="I4" s="7" t="n">
        <v>-51200</v>
      </c>
      <c r="J4" s="7" t="n">
        <v>25600</v>
      </c>
      <c r="K4" s="7" t="n">
        <v>8453905.92</v>
      </c>
      <c r="L4" s="12" t="n">
        <v>46302</v>
      </c>
      <c r="M4" s="4" t="n">
        <v>0</v>
      </c>
      <c r="N4" s="4" t="inlineStr">
        <is>
          <t>0-1d</t>
        </is>
      </c>
      <c r="O4" s="4" t="inlineStr">
        <is>
          <t>HIGH</t>
        </is>
      </c>
      <c r="P4" s="13" t="inlineStr">
        <is>
          <t>Custodian quantity is exactly 2x the platform: 2-for-1 split not booked on the platform.</t>
        </is>
      </c>
      <c r="Q4" s="13" t="inlineStr">
        <is>
          <t>Book the split on the platform (ratio and ex-date) and re-run.</t>
        </is>
      </c>
    </row>
    <row r="5">
      <c r="A5" s="4" t="inlineStr">
        <is>
          <t>BRK-20261007-0004</t>
        </is>
      </c>
      <c r="B5" s="4" t="inlineStr">
        <is>
          <t>POSITION</t>
        </is>
      </c>
      <c r="C5" s="4" t="inlineStr">
        <is>
          <t>POSITION_BREAK_CORP_ACTION_SPLIT</t>
        </is>
      </c>
      <c r="D5" s="4" t="inlineStr">
        <is>
          <t>Middle Office</t>
        </is>
      </c>
      <c r="E5" s="4" t="inlineStr">
        <is>
          <t>FUND_GAMMA</t>
        </is>
      </c>
      <c r="F5" s="4" t="inlineStr">
        <is>
          <t>SEC004</t>
        </is>
      </c>
      <c r="G5" s="4" t="inlineStr">
        <is>
          <t>FUND_GAMMA|SEC004</t>
        </is>
      </c>
      <c r="H5" s="7" t="n">
        <v>33000</v>
      </c>
      <c r="I5" s="7" t="n">
        <v>66000</v>
      </c>
      <c r="J5" s="7" t="n">
        <v>-33000</v>
      </c>
      <c r="K5" s="7" t="n">
        <v>8160814.2</v>
      </c>
      <c r="L5" s="12" t="n">
        <v>46302</v>
      </c>
      <c r="M5" s="4" t="n">
        <v>0</v>
      </c>
      <c r="N5" s="4" t="inlineStr">
        <is>
          <t>0-1d</t>
        </is>
      </c>
      <c r="O5" s="4" t="inlineStr">
        <is>
          <t>HIGH</t>
        </is>
      </c>
      <c r="P5" s="13" t="inlineStr">
        <is>
          <t>Custodian quantity is exactly 2x the platform: 2-for-1 split not booked on the platform.</t>
        </is>
      </c>
      <c r="Q5" s="13" t="inlineStr">
        <is>
          <t>Book the split on the platform (ratio and ex-date) and re-run.</t>
        </is>
      </c>
    </row>
    <row r="6">
      <c r="A6" s="4" t="inlineStr">
        <is>
          <t>BRK-20261007-0005</t>
        </is>
      </c>
      <c r="B6" s="4" t="inlineStr">
        <is>
          <t>POSITION</t>
        </is>
      </c>
      <c r="C6" s="4" t="inlineStr">
        <is>
          <t>POSITION_BREAK_CORP_ACTION_SPLIT</t>
        </is>
      </c>
      <c r="D6" s="4" t="inlineStr">
        <is>
          <t>Middle Office</t>
        </is>
      </c>
      <c r="E6" s="4" t="inlineStr">
        <is>
          <t>FUND_ALPHA</t>
        </is>
      </c>
      <c r="F6" s="4" t="inlineStr">
        <is>
          <t>SEC004</t>
        </is>
      </c>
      <c r="G6" s="4" t="inlineStr">
        <is>
          <t>FUND_ALPHA|SEC004</t>
        </is>
      </c>
      <c r="H6" s="7" t="n">
        <v>28900</v>
      </c>
      <c r="I6" s="7" t="n">
        <v>57800</v>
      </c>
      <c r="J6" s="7" t="n">
        <v>-28900</v>
      </c>
      <c r="K6" s="7" t="n">
        <v>7146894.86</v>
      </c>
      <c r="L6" s="12" t="n">
        <v>46302</v>
      </c>
      <c r="M6" s="4" t="n">
        <v>0</v>
      </c>
      <c r="N6" s="4" t="inlineStr">
        <is>
          <t>0-1d</t>
        </is>
      </c>
      <c r="O6" s="4" t="inlineStr">
        <is>
          <t>HIGH</t>
        </is>
      </c>
      <c r="P6" s="13" t="inlineStr">
        <is>
          <t>Custodian quantity is exactly 2x the platform: 2-for-1 split not booked on the platform.</t>
        </is>
      </c>
      <c r="Q6" s="13" t="inlineStr">
        <is>
          <t>Book the split on the platform (ratio and ex-date) and re-run.</t>
        </is>
      </c>
    </row>
    <row r="7">
      <c r="A7" s="4" t="inlineStr">
        <is>
          <t>BRK-20261007-0006</t>
        </is>
      </c>
      <c r="B7" s="4" t="inlineStr">
        <is>
          <t>POSITION</t>
        </is>
      </c>
      <c r="C7" s="4" t="inlineStr">
        <is>
          <t>POSITION_BREAK_CORP_ACTION_SPLIT</t>
        </is>
      </c>
      <c r="D7" s="4" t="inlineStr">
        <is>
          <t>Middle Office</t>
        </is>
      </c>
      <c r="E7" s="4" t="inlineStr">
        <is>
          <t>FUND_BETA</t>
        </is>
      </c>
      <c r="F7" s="4" t="inlineStr">
        <is>
          <t>SEC004</t>
        </is>
      </c>
      <c r="G7" s="4" t="inlineStr">
        <is>
          <t>FUND_BETA|SEC004</t>
        </is>
      </c>
      <c r="H7" s="7" t="n">
        <v>-26700</v>
      </c>
      <c r="I7" s="7" t="n">
        <v>-53400</v>
      </c>
      <c r="J7" s="7" t="n">
        <v>26700</v>
      </c>
      <c r="K7" s="7" t="n">
        <v>6602840.58</v>
      </c>
      <c r="L7" s="12" t="n">
        <v>46302</v>
      </c>
      <c r="M7" s="4" t="n">
        <v>0</v>
      </c>
      <c r="N7" s="4" t="inlineStr">
        <is>
          <t>0-1d</t>
        </is>
      </c>
      <c r="O7" s="4" t="inlineStr">
        <is>
          <t>HIGH</t>
        </is>
      </c>
      <c r="P7" s="13" t="inlineStr">
        <is>
          <t>Custodian quantity is exactly 2x the platform: 2-for-1 split not booked on the platform.</t>
        </is>
      </c>
      <c r="Q7" s="13" t="inlineStr">
        <is>
          <t>Book the split on the platform (ratio and ex-date) and re-run.</t>
        </is>
      </c>
    </row>
    <row r="8">
      <c r="A8" s="4" t="inlineStr">
        <is>
          <t>BRK-20261007-0010</t>
        </is>
      </c>
      <c r="B8" s="4" t="inlineStr">
        <is>
          <t>POSITION</t>
        </is>
      </c>
      <c r="C8" s="4" t="inlineStr">
        <is>
          <t>POSITION_BREAK_TRADE_DRIVEN</t>
        </is>
      </c>
      <c r="D8" s="4" t="inlineStr">
        <is>
          <t>Trade Accounting &amp; Operation</t>
        </is>
      </c>
      <c r="E8" s="4" t="inlineStr">
        <is>
          <t>FUND_ALPHA</t>
        </is>
      </c>
      <c r="F8" s="4" t="inlineStr">
        <is>
          <t>SEC011</t>
        </is>
      </c>
      <c r="G8" s="4" t="inlineStr">
        <is>
          <t>FUND_ALPHA|SEC011</t>
        </is>
      </c>
      <c r="H8" s="7" t="n">
        <v>39600</v>
      </c>
      <c r="I8" s="7" t="n">
        <v>47600</v>
      </c>
      <c r="J8" s="7" t="n">
        <v>-8000</v>
      </c>
      <c r="K8" s="7" t="n">
        <v>3135335.2</v>
      </c>
      <c r="L8" s="12" t="n">
        <v>46302</v>
      </c>
      <c r="M8" s="4" t="n">
        <v>0</v>
      </c>
      <c r="N8" s="4" t="inlineStr">
        <is>
          <t>0-1d</t>
        </is>
      </c>
      <c r="O8" s="4" t="inlineStr">
        <is>
          <t>HIGH</t>
        </is>
      </c>
      <c r="P8" s="13" t="inlineStr">
        <is>
          <t>Fully explained by trade break(s): TRD100089, TRD100267, TRD90001</t>
        </is>
      </c>
      <c r="Q8" s="13" t="inlineStr">
        <is>
          <t>No separate action; clears when the linked trade break is resolved.</t>
        </is>
      </c>
    </row>
    <row r="9">
      <c r="A9" s="4" t="inlineStr">
        <is>
          <t>BRK-20261007-0012</t>
        </is>
      </c>
      <c r="B9" s="4" t="inlineStr">
        <is>
          <t>POSITION</t>
        </is>
      </c>
      <c r="C9" s="4" t="inlineStr">
        <is>
          <t>POSITION_BREAK_TRADE_DRIVEN</t>
        </is>
      </c>
      <c r="D9" s="4" t="inlineStr">
        <is>
          <t>Trade Accounting &amp; Operation</t>
        </is>
      </c>
      <c r="E9" s="4" t="inlineStr">
        <is>
          <t>FUND_BETA</t>
        </is>
      </c>
      <c r="F9" s="4" t="inlineStr">
        <is>
          <t>SEC015</t>
        </is>
      </c>
      <c r="G9" s="4" t="inlineStr">
        <is>
          <t>FUND_BETA|SEC015</t>
        </is>
      </c>
      <c r="H9" s="7" t="n">
        <v>14500</v>
      </c>
      <c r="I9" s="7" t="n">
        <v>1000</v>
      </c>
      <c r="J9" s="7" t="n">
        <v>13500</v>
      </c>
      <c r="K9" s="7" t="n">
        <v>2916110.7</v>
      </c>
      <c r="L9" s="12" t="n">
        <v>46302</v>
      </c>
      <c r="M9" s="4" t="n">
        <v>0</v>
      </c>
      <c r="N9" s="4" t="inlineStr">
        <is>
          <t>0-1d</t>
        </is>
      </c>
      <c r="O9" s="4" t="inlineStr">
        <is>
          <t>HIGH</t>
        </is>
      </c>
      <c r="P9" s="13" t="inlineStr">
        <is>
          <t>Fully explained by trade break(s): TRD100164</t>
        </is>
      </c>
      <c r="Q9" s="13" t="inlineStr">
        <is>
          <t>No separate action; clears when the linked trade break is resolved.</t>
        </is>
      </c>
    </row>
    <row r="10">
      <c r="A10" s="4" t="inlineStr">
        <is>
          <t>BRK-20261007-0013</t>
        </is>
      </c>
      <c r="B10" s="4" t="inlineStr">
        <is>
          <t>POSITION</t>
        </is>
      </c>
      <c r="C10" s="4" t="inlineStr">
        <is>
          <t>POSITION_BREAK_TRADE_DRIVEN</t>
        </is>
      </c>
      <c r="D10" s="4" t="inlineStr">
        <is>
          <t>Trade Accounting &amp; Operation</t>
        </is>
      </c>
      <c r="E10" s="4" t="inlineStr">
        <is>
          <t>FUND_BETA</t>
        </is>
      </c>
      <c r="F10" s="4" t="inlineStr">
        <is>
          <t>SEC018</t>
        </is>
      </c>
      <c r="G10" s="4" t="inlineStr">
        <is>
          <t>FUND_BETA|SEC018</t>
        </is>
      </c>
      <c r="H10" s="7" t="n">
        <v>-300</v>
      </c>
      <c r="I10" s="7" t="n">
        <v>-13000</v>
      </c>
      <c r="J10" s="7" t="n">
        <v>12700</v>
      </c>
      <c r="K10" s="7" t="n">
        <v>2870954.38</v>
      </c>
      <c r="L10" s="12" t="n">
        <v>46302</v>
      </c>
      <c r="M10" s="4" t="n">
        <v>0</v>
      </c>
      <c r="N10" s="4" t="inlineStr">
        <is>
          <t>0-1d</t>
        </is>
      </c>
      <c r="O10" s="4" t="inlineStr">
        <is>
          <t>HIGH</t>
        </is>
      </c>
      <c r="P10" s="13" t="inlineStr">
        <is>
          <t>Fully explained by trade break(s): TRD100292</t>
        </is>
      </c>
      <c r="Q10" s="13" t="inlineStr">
        <is>
          <t>No separate action; clears when the linked trade break is resolved.</t>
        </is>
      </c>
    </row>
    <row r="11">
      <c r="A11" s="4" t="inlineStr">
        <is>
          <t>BRK-20261007-0017</t>
        </is>
      </c>
      <c r="B11" s="4" t="inlineStr">
        <is>
          <t>POSITION</t>
        </is>
      </c>
      <c r="C11" s="4" t="inlineStr">
        <is>
          <t>POSITION_BREAK_TRADE_DRIVEN</t>
        </is>
      </c>
      <c r="D11" s="4" t="inlineStr">
        <is>
          <t>Trade Accounting &amp; Operation</t>
        </is>
      </c>
      <c r="E11" s="4" t="inlineStr">
        <is>
          <t>FUND_ALPHA</t>
        </is>
      </c>
      <c r="F11" s="4" t="inlineStr">
        <is>
          <t>SEC008</t>
        </is>
      </c>
      <c r="G11" s="4" t="inlineStr">
        <is>
          <t>FUND_ALPHA|SEC008</t>
        </is>
      </c>
      <c r="H11" s="7" t="n">
        <v>22800</v>
      </c>
      <c r="I11" s="7" t="n">
        <v>3300</v>
      </c>
      <c r="J11" s="7" t="n">
        <v>19500</v>
      </c>
      <c r="K11" s="7" t="n">
        <v>1502987.85</v>
      </c>
      <c r="L11" s="12" t="n">
        <v>46302</v>
      </c>
      <c r="M11" s="4" t="n">
        <v>0</v>
      </c>
      <c r="N11" s="4" t="inlineStr">
        <is>
          <t>0-1d</t>
        </is>
      </c>
      <c r="O11" s="4" t="inlineStr">
        <is>
          <t>HIGH</t>
        </is>
      </c>
      <c r="P11" s="13" t="inlineStr">
        <is>
          <t>Fully explained by trade break(s): TRD100027</t>
        </is>
      </c>
      <c r="Q11" s="13" t="inlineStr">
        <is>
          <t>No separate action; clears when the linked trade break is resolved.</t>
        </is>
      </c>
    </row>
    <row r="12">
      <c r="A12" s="4" t="inlineStr">
        <is>
          <t>BRK-20261007-0024</t>
        </is>
      </c>
      <c r="B12" s="4" t="inlineStr">
        <is>
          <t>POSITION</t>
        </is>
      </c>
      <c r="C12" s="4" t="inlineStr">
        <is>
          <t>POSITION_BREAK_TRADE_DRIVEN</t>
        </is>
      </c>
      <c r="D12" s="4" t="inlineStr">
        <is>
          <t>Trade Accounting &amp; Operation</t>
        </is>
      </c>
      <c r="E12" s="4" t="inlineStr">
        <is>
          <t>FUND_GAMMA</t>
        </is>
      </c>
      <c r="F12" s="4" t="inlineStr">
        <is>
          <t>SEC018</t>
        </is>
      </c>
      <c r="G12" s="4" t="inlineStr">
        <is>
          <t>FUND_GAMMA|SEC018</t>
        </is>
      </c>
      <c r="H12" s="7" t="n">
        <v>40400</v>
      </c>
      <c r="I12" s="7" t="n">
        <v>38300</v>
      </c>
      <c r="J12" s="7" t="n">
        <v>2100</v>
      </c>
      <c r="K12" s="7" t="n">
        <v>474724.74</v>
      </c>
      <c r="L12" s="12" t="n">
        <v>46302</v>
      </c>
      <c r="M12" s="4" t="n">
        <v>0</v>
      </c>
      <c r="N12" s="4" t="inlineStr">
        <is>
          <t>0-1d</t>
        </is>
      </c>
      <c r="O12" s="4" t="inlineStr">
        <is>
          <t>MEDIUM</t>
        </is>
      </c>
      <c r="P12" s="13" t="inlineStr">
        <is>
          <t>Fully explained by trade break(s): TRD90000</t>
        </is>
      </c>
      <c r="Q12" s="13" t="inlineStr">
        <is>
          <t>No separate action; clears when the linked trade break is resolved.</t>
        </is>
      </c>
    </row>
    <row r="13">
      <c r="A13" s="4" t="inlineStr">
        <is>
          <t>BRK-20261007-0026</t>
        </is>
      </c>
      <c r="B13" s="4" t="inlineStr">
        <is>
          <t>POSITION</t>
        </is>
      </c>
      <c r="C13" s="4" t="inlineStr">
        <is>
          <t>POSITION_BREAK_TRADE_DRIVEN</t>
        </is>
      </c>
      <c r="D13" s="4" t="inlineStr">
        <is>
          <t>Trade Accounting &amp; Operation</t>
        </is>
      </c>
      <c r="E13" s="4" t="inlineStr">
        <is>
          <t>FUND_ALPHA</t>
        </is>
      </c>
      <c r="F13" s="4" t="inlineStr">
        <is>
          <t>SEC019</t>
        </is>
      </c>
      <c r="G13" s="4" t="inlineStr">
        <is>
          <t>FUND_ALPHA|SEC019</t>
        </is>
      </c>
      <c r="H13" s="7" t="n">
        <v>68000</v>
      </c>
      <c r="I13" s="7" t="n">
        <v>71500</v>
      </c>
      <c r="J13" s="7" t="n">
        <v>-3500</v>
      </c>
      <c r="K13" s="7" t="n">
        <v>356841.45</v>
      </c>
      <c r="L13" s="12" t="n">
        <v>46302</v>
      </c>
      <c r="M13" s="4" t="n">
        <v>0</v>
      </c>
      <c r="N13" s="4" t="inlineStr">
        <is>
          <t>0-1d</t>
        </is>
      </c>
      <c r="O13" s="4" t="inlineStr">
        <is>
          <t>MEDIUM</t>
        </is>
      </c>
      <c r="P13" s="13" t="inlineStr">
        <is>
          <t>Fully explained by trade break(s): TRD100230, TRD100284, TRD90002</t>
        </is>
      </c>
      <c r="Q13" s="13" t="inlineStr">
        <is>
          <t>No separate action; clears when the linked trade break is resolved.</t>
        </is>
      </c>
    </row>
    <row r="14">
      <c r="A14" s="4" t="inlineStr">
        <is>
          <t>BRK-20261007-0030</t>
        </is>
      </c>
      <c r="B14" s="4" t="inlineStr">
        <is>
          <t>POSITION</t>
        </is>
      </c>
      <c r="C14" s="4" t="inlineStr">
        <is>
          <t>POSITION_BREAK_TRADE_DRIVEN</t>
        </is>
      </c>
      <c r="D14" s="4" t="inlineStr">
        <is>
          <t>Trade Accounting &amp; Operation</t>
        </is>
      </c>
      <c r="E14" s="4" t="inlineStr">
        <is>
          <t>FUND_BETA</t>
        </is>
      </c>
      <c r="F14" s="4" t="inlineStr">
        <is>
          <t>SEC005</t>
        </is>
      </c>
      <c r="G14" s="4" t="inlineStr">
        <is>
          <t>FUND_BETA|SEC005</t>
        </is>
      </c>
      <c r="H14" s="7" t="n">
        <v>9600</v>
      </c>
      <c r="I14" s="7" t="n">
        <v>6200</v>
      </c>
      <c r="J14" s="7" t="n">
        <v>3400</v>
      </c>
      <c r="K14" s="7" t="n">
        <v>144544.2</v>
      </c>
      <c r="L14" s="12" t="n">
        <v>46302</v>
      </c>
      <c r="M14" s="4" t="n">
        <v>0</v>
      </c>
      <c r="N14" s="4" t="inlineStr">
        <is>
          <t>0-1d</t>
        </is>
      </c>
      <c r="O14" s="4" t="inlineStr">
        <is>
          <t>MEDIUM</t>
        </is>
      </c>
      <c r="P14" s="13" t="inlineStr">
        <is>
          <t>Fully explained by trade break(s): TRD90003</t>
        </is>
      </c>
      <c r="Q14" s="13" t="inlineStr">
        <is>
          <t>No separate action; clears when the linked trade break is resolved.</t>
        </is>
      </c>
    </row>
    <row r="15">
      <c r="A15" s="4" t="inlineStr">
        <is>
          <t>BRK-20261007-0039</t>
        </is>
      </c>
      <c r="B15" s="4" t="inlineStr">
        <is>
          <t>POSITION</t>
        </is>
      </c>
      <c r="C15" s="4" t="inlineStr">
        <is>
          <t>POSITION_BREAK_TRADE_DRIVEN</t>
        </is>
      </c>
      <c r="D15" s="4" t="inlineStr">
        <is>
          <t>Trade Accounting &amp; Operation</t>
        </is>
      </c>
      <c r="E15" s="4" t="inlineStr">
        <is>
          <t>FUND_BETA</t>
        </is>
      </c>
      <c r="F15" s="4" t="inlineStr">
        <is>
          <t>SEC020</t>
        </is>
      </c>
      <c r="G15" s="4" t="inlineStr">
        <is>
          <t>FUND_BETA|SEC020</t>
        </is>
      </c>
      <c r="H15" s="7" t="n">
        <v>-21100</v>
      </c>
      <c r="I15" s="7" t="n">
        <v>-20500</v>
      </c>
      <c r="J15" s="7" t="n">
        <v>-600</v>
      </c>
      <c r="K15" s="7" t="n">
        <v>64694.1</v>
      </c>
      <c r="L15" s="12" t="n">
        <v>46302</v>
      </c>
      <c r="M15" s="4" t="n">
        <v>0</v>
      </c>
      <c r="N15" s="4" t="inlineStr">
        <is>
          <t>0-1d</t>
        </is>
      </c>
      <c r="O15" s="4" t="inlineStr">
        <is>
          <t>MEDIUM</t>
        </is>
      </c>
      <c r="P15" s="13" t="inlineStr">
        <is>
          <t>Fully explained by trade break(s): TRD100083, TRD100153</t>
        </is>
      </c>
      <c r="Q15" s="13" t="inlineStr">
        <is>
          <t>No separate action; clears when the linked trade break is resolved.</t>
        </is>
      </c>
    </row>
    <row r="16">
      <c r="A16" s="4" t="inlineStr">
        <is>
          <t>BRK-20261007-0043</t>
        </is>
      </c>
      <c r="B16" s="4" t="inlineStr">
        <is>
          <t>POSITION</t>
        </is>
      </c>
      <c r="C16" s="4" t="inlineStr">
        <is>
          <t>POSITION_BREAK_TRADE_DRIVEN</t>
        </is>
      </c>
      <c r="D16" s="4" t="inlineStr">
        <is>
          <t>Trade Accounting &amp; Operation</t>
        </is>
      </c>
      <c r="E16" s="4" t="inlineStr">
        <is>
          <t>FUND_BETA</t>
        </is>
      </c>
      <c r="F16" s="4" t="inlineStr">
        <is>
          <t>SEC016</t>
        </is>
      </c>
      <c r="G16" s="4" t="inlineStr">
        <is>
          <t>FUND_BETA|SEC016</t>
        </is>
      </c>
      <c r="H16" s="7" t="n">
        <v>36100</v>
      </c>
      <c r="I16" s="7" t="n">
        <v>36700</v>
      </c>
      <c r="J16" s="7" t="n">
        <v>-600</v>
      </c>
      <c r="K16" s="7" t="n">
        <v>48530.82</v>
      </c>
      <c r="L16" s="12" t="n">
        <v>46302</v>
      </c>
      <c r="M16" s="4" t="n">
        <v>0</v>
      </c>
      <c r="N16" s="4" t="inlineStr">
        <is>
          <t>0-1d</t>
        </is>
      </c>
      <c r="O16" s="4" t="inlineStr">
        <is>
          <t>LOW</t>
        </is>
      </c>
      <c r="P16" s="13" t="inlineStr">
        <is>
          <t>Fully explained by trade break(s): TRD100058</t>
        </is>
      </c>
      <c r="Q16" s="13" t="inlineStr">
        <is>
          <t>No separate action; clears when the linked trade break is resolved.</t>
        </is>
      </c>
    </row>
    <row r="17">
      <c r="A17" s="4" t="inlineStr">
        <is>
          <t>BRK-20261007-0045</t>
        </is>
      </c>
      <c r="B17" s="4" t="inlineStr">
        <is>
          <t>POSITION</t>
        </is>
      </c>
      <c r="C17" s="4" t="inlineStr">
        <is>
          <t>POSITION_BREAK_TRADE_DRIVEN</t>
        </is>
      </c>
      <c r="D17" s="4" t="inlineStr">
        <is>
          <t>Trade Accounting &amp; Operation</t>
        </is>
      </c>
      <c r="E17" s="4" t="inlineStr">
        <is>
          <t>FUND_GAMMA</t>
        </is>
      </c>
      <c r="F17" s="4" t="inlineStr">
        <is>
          <t>SEC022</t>
        </is>
      </c>
      <c r="G17" s="4" t="inlineStr">
        <is>
          <t>FUND_GAMMA|SEC022</t>
        </is>
      </c>
      <c r="H17" s="7" t="n">
        <v>5100</v>
      </c>
      <c r="I17" s="7" t="n">
        <v>4700</v>
      </c>
      <c r="J17" s="7" t="n">
        <v>400</v>
      </c>
      <c r="K17" s="7" t="n">
        <v>37825.64</v>
      </c>
      <c r="L17" s="12" t="n">
        <v>46302</v>
      </c>
      <c r="M17" s="4" t="n">
        <v>0</v>
      </c>
      <c r="N17" s="4" t="inlineStr">
        <is>
          <t>0-1d</t>
        </is>
      </c>
      <c r="O17" s="4" t="inlineStr">
        <is>
          <t>LOW</t>
        </is>
      </c>
      <c r="P17" s="13" t="inlineStr">
        <is>
          <t>Fully explained by trade break(s): TRD100262</t>
        </is>
      </c>
      <c r="Q17" s="13" t="inlineStr">
        <is>
          <t>No separate action; clears when the linked trade break is resolved.</t>
        </is>
      </c>
    </row>
    <row r="18">
      <c r="A18" s="4" t="inlineStr">
        <is>
          <t>BRK-20261007-0047</t>
        </is>
      </c>
      <c r="B18" s="4" t="inlineStr">
        <is>
          <t>POSITION</t>
        </is>
      </c>
      <c r="C18" s="4" t="inlineStr">
        <is>
          <t>POSITION_BREAK_TRADE_DRIVEN</t>
        </is>
      </c>
      <c r="D18" s="4" t="inlineStr">
        <is>
          <t>Trade Accounting &amp; Operation</t>
        </is>
      </c>
      <c r="E18" s="4" t="inlineStr">
        <is>
          <t>FUND_BETA</t>
        </is>
      </c>
      <c r="F18" s="4" t="inlineStr">
        <is>
          <t>SEC003</t>
        </is>
      </c>
      <c r="G18" s="4" t="inlineStr">
        <is>
          <t>FUND_BETA|SEC003</t>
        </is>
      </c>
      <c r="H18" s="7" t="n">
        <v>-15800</v>
      </c>
      <c r="I18" s="7" t="n">
        <v>-16000</v>
      </c>
      <c r="J18" s="7" t="n">
        <v>200</v>
      </c>
      <c r="K18" s="7" t="n">
        <v>31456.38</v>
      </c>
      <c r="L18" s="12" t="n">
        <v>46302</v>
      </c>
      <c r="M18" s="4" t="n">
        <v>0</v>
      </c>
      <c r="N18" s="4" t="inlineStr">
        <is>
          <t>0-1d</t>
        </is>
      </c>
      <c r="O18" s="4" t="inlineStr">
        <is>
          <t>LOW</t>
        </is>
      </c>
      <c r="P18" s="13" t="inlineStr">
        <is>
          <t>Fully explained by trade break(s): TRD100042, TRD100166</t>
        </is>
      </c>
      <c r="Q18" s="13" t="inlineStr">
        <is>
          <t>No separate action; clears when the linked trade break is resolved.</t>
        </is>
      </c>
    </row>
    <row r="19">
      <c r="A19" s="4" t="inlineStr">
        <is>
          <t>BRK-20261007-0049</t>
        </is>
      </c>
      <c r="B19" s="4" t="inlineStr">
        <is>
          <t>POSITION</t>
        </is>
      </c>
      <c r="C19" s="4" t="inlineStr">
        <is>
          <t>POSITION_BREAK_TRADE_DRIVEN</t>
        </is>
      </c>
      <c r="D19" s="4" t="inlineStr">
        <is>
          <t>Trade Accounting &amp; Operation</t>
        </is>
      </c>
      <c r="E19" s="4" t="inlineStr">
        <is>
          <t>FUND_BETA</t>
        </is>
      </c>
      <c r="F19" s="4" t="inlineStr">
        <is>
          <t>SEC008</t>
        </is>
      </c>
      <c r="G19" s="4" t="inlineStr">
        <is>
          <t>FUND_BETA|SEC008</t>
        </is>
      </c>
      <c r="H19" s="7" t="n">
        <v>-5800</v>
      </c>
      <c r="I19" s="7" t="n">
        <v>-5500</v>
      </c>
      <c r="J19" s="7" t="n">
        <v>-300</v>
      </c>
      <c r="K19" s="7" t="n">
        <v>23122.89</v>
      </c>
      <c r="L19" s="12" t="n">
        <v>46302</v>
      </c>
      <c r="M19" s="4" t="n">
        <v>0</v>
      </c>
      <c r="N19" s="4" t="inlineStr">
        <is>
          <t>0-1d</t>
        </is>
      </c>
      <c r="O19" s="4" t="inlineStr">
        <is>
          <t>LOW</t>
        </is>
      </c>
      <c r="P19" s="13" t="inlineStr">
        <is>
          <t>Fully explained by trade break(s): TRD100179</t>
        </is>
      </c>
      <c r="Q19" s="13" t="inlineStr">
        <is>
          <t>No separate action; clears when the linked trade break is resolved.</t>
        </is>
      </c>
    </row>
    <row r="20">
      <c r="A20" s="4" t="inlineStr">
        <is>
          <t>BRK-20261007-0057</t>
        </is>
      </c>
      <c r="B20" s="4" t="inlineStr">
        <is>
          <t>POSITION</t>
        </is>
      </c>
      <c r="C20" s="4" t="inlineStr">
        <is>
          <t>POSITION_BREAK_TRADE_DRIVEN</t>
        </is>
      </c>
      <c r="D20" s="4" t="inlineStr">
        <is>
          <t>Trade Accounting &amp; Operation</t>
        </is>
      </c>
      <c r="E20" s="4" t="inlineStr">
        <is>
          <t>FUND_ALPHA</t>
        </is>
      </c>
      <c r="F20" s="4" t="inlineStr">
        <is>
          <t>SEC022</t>
        </is>
      </c>
      <c r="G20" s="4" t="inlineStr">
        <is>
          <t>FUND_ALPHA|SEC022</t>
        </is>
      </c>
      <c r="H20" s="7" t="n">
        <v>-23500</v>
      </c>
      <c r="I20" s="7" t="n">
        <v>-23400</v>
      </c>
      <c r="J20" s="7" t="n">
        <v>-100</v>
      </c>
      <c r="K20" s="7" t="n">
        <v>9456.41</v>
      </c>
      <c r="L20" s="12" t="n">
        <v>46302</v>
      </c>
      <c r="M20" s="4" t="n">
        <v>0</v>
      </c>
      <c r="N20" s="4" t="inlineStr">
        <is>
          <t>0-1d</t>
        </is>
      </c>
      <c r="O20" s="4" t="inlineStr">
        <is>
          <t>LOW</t>
        </is>
      </c>
      <c r="P20" s="13" t="inlineStr">
        <is>
          <t>Fully explained by trade break(s): TRD100076, TRD100131, TRD100248</t>
        </is>
      </c>
      <c r="Q20" s="13" t="inlineStr">
        <is>
          <t>No separate action; clears when the linked trade break is resolved.</t>
        </is>
      </c>
    </row>
  </sheetData>
  <autoFilter ref="A1:Q20"/>
  <conditionalFormatting sqref="O2:O20">
    <cfRule type="cellIs" priority="1" operator="equal" dxfId="1">
      <formula>"HIGH"</formula>
    </cfRule>
    <cfRule type="cellIs" priority="2" operator="equal" dxfId="2">
      <formula>"MEDIUM"</formula>
    </cfRule>
    <cfRule type="cellIs" priority="3" operator="equal" dxfId="3">
      <formula>"LOW"</formula>
    </cfRule>
  </conditionalFormatting>
  <conditionalFormatting sqref="M2:M20">
    <cfRule type="cellIs" priority="4" operator="greaterThan" dxfId="4">
      <formula>5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36" customWidth="1" min="3" max="3"/>
    <col width="28" customWidth="1" min="4" max="4"/>
    <col width="13" customWidth="1" min="5" max="5"/>
    <col width="12" customWidth="1" min="6" max="6"/>
    <col width="24" customWidth="1" min="7" max="7"/>
    <col width="22" customWidth="1" min="8" max="8"/>
    <col width="22" customWidth="1" min="9" max="9"/>
    <col width="14" customWidth="1" min="10" max="10"/>
    <col width="16" customWidth="1" min="11" max="11"/>
    <col width="14" customWidth="1" min="12" max="12"/>
    <col width="9" customWidth="1" min="13" max="13"/>
    <col width="11" customWidth="1" min="14" max="14"/>
    <col width="10" customWidth="1" min="15" max="15"/>
    <col width="70" customWidth="1" min="16" max="16"/>
    <col width="70" customWidth="1" min="17" max="17"/>
  </cols>
  <sheetData>
    <row r="1" ht="30" customHeight="1">
      <c r="A1" s="11" t="inlineStr">
        <is>
          <t>Break Id</t>
        </is>
      </c>
      <c r="B1" s="11" t="inlineStr">
        <is>
          <t>Category</t>
        </is>
      </c>
      <c r="C1" s="11" t="inlineStr">
        <is>
          <t>Break Type</t>
        </is>
      </c>
      <c r="D1" s="11" t="inlineStr">
        <is>
          <t>Owner Team</t>
        </is>
      </c>
      <c r="E1" s="11" t="inlineStr">
        <is>
          <t>Account</t>
        </is>
      </c>
      <c r="F1" s="11" t="inlineStr">
        <is>
          <t>Security Id</t>
        </is>
      </c>
      <c r="G1" s="11" t="inlineStr">
        <is>
          <t>Reference</t>
        </is>
      </c>
      <c r="H1" s="11" t="inlineStr">
        <is>
          <t>Internal Value</t>
        </is>
      </c>
      <c r="I1" s="11" t="inlineStr">
        <is>
          <t>Custodian Value</t>
        </is>
      </c>
      <c r="J1" s="11" t="inlineStr">
        <is>
          <t>Difference</t>
        </is>
      </c>
      <c r="K1" s="11" t="inlineStr">
        <is>
          <t>Notional Usd</t>
        </is>
      </c>
      <c r="L1" s="11" t="inlineStr">
        <is>
          <t>Reference Date</t>
        </is>
      </c>
      <c r="M1" s="11" t="inlineStr">
        <is>
          <t>Age Days</t>
        </is>
      </c>
      <c r="N1" s="11" t="inlineStr">
        <is>
          <t>Age Bucket</t>
        </is>
      </c>
      <c r="O1" s="11" t="inlineStr">
        <is>
          <t>Severity</t>
        </is>
      </c>
      <c r="P1" s="11" t="inlineStr">
        <is>
          <t>Explanation</t>
        </is>
      </c>
      <c r="Q1" s="11" t="inlineStr">
        <is>
          <t>Suggested Action</t>
        </is>
      </c>
    </row>
    <row r="2">
      <c r="A2" s="4" t="inlineStr">
        <is>
          <t>BRK-20261007-0016</t>
        </is>
      </c>
      <c r="B2" s="4" t="inlineStr">
        <is>
          <t>CASH</t>
        </is>
      </c>
      <c r="C2" s="4" t="inlineStr">
        <is>
          <t>CASH_BREAK_UPSTREAM_DRIVEN</t>
        </is>
      </c>
      <c r="D2" s="4" t="inlineStr">
        <is>
          <t>Trade Accounting &amp; Operation</t>
        </is>
      </c>
      <c r="E2" s="4" t="inlineStr">
        <is>
          <t>FUND_ALPHA</t>
        </is>
      </c>
      <c r="F2" s="4" t="n"/>
      <c r="G2" s="4" t="inlineStr">
        <is>
          <t>FUND_ALPHA|USD</t>
        </is>
      </c>
      <c r="H2" s="7" t="n">
        <v>-12494367.95</v>
      </c>
      <c r="I2" s="7" t="n">
        <v>-14468854.03</v>
      </c>
      <c r="J2" s="7" t="n">
        <v>1974486.08</v>
      </c>
      <c r="K2" s="7" t="n">
        <v>1974486.08</v>
      </c>
      <c r="L2" s="12" t="n">
        <v>46302</v>
      </c>
      <c r="M2" s="4" t="n">
        <v>0</v>
      </c>
      <c r="N2" s="4" t="inlineStr">
        <is>
          <t>0-1d</t>
        </is>
      </c>
      <c r="O2" s="4" t="inlineStr">
        <is>
          <t>HIGH</t>
        </is>
      </c>
      <c r="P2" s="13" t="inlineStr">
        <is>
          <t>Fully explained by: trade breaks 1,976,331.08; margin breaks 0.00; unbooked dividends -1,845.00; residual 0.00</t>
        </is>
      </c>
      <c r="Q2" s="13" t="inlineStr">
        <is>
          <t>No separate action; clears when linked trade, margin and corporate action breaks clear.</t>
        </is>
      </c>
    </row>
    <row r="3">
      <c r="A3" s="4" t="inlineStr">
        <is>
          <t>BRK-20261007-0022</t>
        </is>
      </c>
      <c r="B3" s="4" t="inlineStr">
        <is>
          <t>CASH</t>
        </is>
      </c>
      <c r="C3" s="4" t="inlineStr">
        <is>
          <t>CASH_BREAK_UPSTREAM_DRIVEN</t>
        </is>
      </c>
      <c r="D3" s="4" t="inlineStr">
        <is>
          <t>Trade Accounting &amp; Operation</t>
        </is>
      </c>
      <c r="E3" s="4" t="inlineStr">
        <is>
          <t>FUND_GAMMA</t>
        </is>
      </c>
      <c r="F3" s="4" t="n"/>
      <c r="G3" s="4" t="inlineStr">
        <is>
          <t>FUND_GAMMA|USD</t>
        </is>
      </c>
      <c r="H3" s="7" t="n">
        <v>-38465221.49</v>
      </c>
      <c r="I3" s="7" t="n">
        <v>-37885827.18</v>
      </c>
      <c r="J3" s="7" t="n">
        <v>-579394.3100000001</v>
      </c>
      <c r="K3" s="7" t="n">
        <v>579394.3100000024</v>
      </c>
      <c r="L3" s="12" t="n">
        <v>46302</v>
      </c>
      <c r="M3" s="4" t="n">
        <v>0</v>
      </c>
      <c r="N3" s="4" t="inlineStr">
        <is>
          <t>0-1d</t>
        </is>
      </c>
      <c r="O3" s="4" t="inlineStr">
        <is>
          <t>HIGH</t>
        </is>
      </c>
      <c r="P3" s="13" t="inlineStr">
        <is>
          <t>Fully explained by: trade breaks -532,021.12; margin breaks -42,558.19; unbooked dividends -4,815.00; residual -0.00</t>
        </is>
      </c>
      <c r="Q3" s="13" t="inlineStr">
        <is>
          <t>No separate action; clears when linked trade, margin and corporate action breaks clear.</t>
        </is>
      </c>
    </row>
    <row r="4">
      <c r="A4" s="4" t="inlineStr">
        <is>
          <t>BRK-20261007-0061</t>
        </is>
      </c>
      <c r="B4" s="4" t="inlineStr">
        <is>
          <t>CASH</t>
        </is>
      </c>
      <c r="C4" s="4" t="inlineStr">
        <is>
          <t>CASH_BREAK_UNEXPLAINED_RESIDUAL</t>
        </is>
      </c>
      <c r="D4" s="4" t="inlineStr">
        <is>
          <t>Trade Accounting &amp; Operation</t>
        </is>
      </c>
      <c r="E4" s="4" t="inlineStr">
        <is>
          <t>FUND_BETA</t>
        </is>
      </c>
      <c r="F4" s="4" t="n"/>
      <c r="G4" s="4" t="inlineStr">
        <is>
          <t>FUND_BETA|USD</t>
        </is>
      </c>
      <c r="H4" s="7" t="n">
        <v>67174989.77</v>
      </c>
      <c r="I4" s="7" t="n">
        <v>73000875.54000001</v>
      </c>
      <c r="J4" s="7" t="n">
        <v>-5825885.77</v>
      </c>
      <c r="K4" s="7" t="n">
        <v>124.9999999990687</v>
      </c>
      <c r="L4" s="12" t="n">
        <v>46302</v>
      </c>
      <c r="M4" s="4" t="n">
        <v>0</v>
      </c>
      <c r="N4" s="4" t="inlineStr">
        <is>
          <t>0-1d</t>
        </is>
      </c>
      <c r="O4" s="4" t="inlineStr">
        <is>
          <t>LOW</t>
        </is>
      </c>
      <c r="P4" s="13" t="inlineStr">
        <is>
          <t>Residual remains after known causes: trade breaks -5,808,288.99; margin breaks -17,766.78; unbooked dividends 45.00; residual 125.00</t>
        </is>
      </c>
      <c r="Q4" s="13" t="inlineStr">
        <is>
          <t>Investigate the residual: fees, interest, FX or unbooked cash movement; book adjustment.</t>
        </is>
      </c>
    </row>
  </sheetData>
  <autoFilter ref="A1:Q4"/>
  <conditionalFormatting sqref="O2:O4">
    <cfRule type="cellIs" priority="1" operator="equal" dxfId="1">
      <formula>"HIGH"</formula>
    </cfRule>
    <cfRule type="cellIs" priority="2" operator="equal" dxfId="2">
      <formula>"MEDIUM"</formula>
    </cfRule>
    <cfRule type="cellIs" priority="3" operator="equal" dxfId="3">
      <formula>"LOW"</formula>
    </cfRule>
  </conditionalFormatting>
  <conditionalFormatting sqref="M2:M4">
    <cfRule type="cellIs" priority="4" operator="greaterThan" dxfId="4">
      <formula>5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36" customWidth="1" min="3" max="3"/>
    <col width="28" customWidth="1" min="4" max="4"/>
    <col width="13" customWidth="1" min="5" max="5"/>
    <col width="12" customWidth="1" min="6" max="6"/>
    <col width="24" customWidth="1" min="7" max="7"/>
    <col width="22" customWidth="1" min="8" max="8"/>
    <col width="22" customWidth="1" min="9" max="9"/>
    <col width="14" customWidth="1" min="10" max="10"/>
    <col width="16" customWidth="1" min="11" max="11"/>
    <col width="14" customWidth="1" min="12" max="12"/>
    <col width="9" customWidth="1" min="13" max="13"/>
    <col width="11" customWidth="1" min="14" max="14"/>
    <col width="10" customWidth="1" min="15" max="15"/>
    <col width="70" customWidth="1" min="16" max="16"/>
    <col width="70" customWidth="1" min="17" max="17"/>
  </cols>
  <sheetData>
    <row r="1" ht="30" customHeight="1">
      <c r="A1" s="11" t="inlineStr">
        <is>
          <t>Break Id</t>
        </is>
      </c>
      <c r="B1" s="11" t="inlineStr">
        <is>
          <t>Category</t>
        </is>
      </c>
      <c r="C1" s="11" t="inlineStr">
        <is>
          <t>Break Type</t>
        </is>
      </c>
      <c r="D1" s="11" t="inlineStr">
        <is>
          <t>Owner Team</t>
        </is>
      </c>
      <c r="E1" s="11" t="inlineStr">
        <is>
          <t>Account</t>
        </is>
      </c>
      <c r="F1" s="11" t="inlineStr">
        <is>
          <t>Security Id</t>
        </is>
      </c>
      <c r="G1" s="11" t="inlineStr">
        <is>
          <t>Reference</t>
        </is>
      </c>
      <c r="H1" s="11" t="inlineStr">
        <is>
          <t>Internal Value</t>
        </is>
      </c>
      <c r="I1" s="11" t="inlineStr">
        <is>
          <t>Custodian Value</t>
        </is>
      </c>
      <c r="J1" s="11" t="inlineStr">
        <is>
          <t>Difference</t>
        </is>
      </c>
      <c r="K1" s="11" t="inlineStr">
        <is>
          <t>Notional Usd</t>
        </is>
      </c>
      <c r="L1" s="11" t="inlineStr">
        <is>
          <t>Reference Date</t>
        </is>
      </c>
      <c r="M1" s="11" t="inlineStr">
        <is>
          <t>Age Days</t>
        </is>
      </c>
      <c r="N1" s="11" t="inlineStr">
        <is>
          <t>Age Bucket</t>
        </is>
      </c>
      <c r="O1" s="11" t="inlineStr">
        <is>
          <t>Severity</t>
        </is>
      </c>
      <c r="P1" s="11" t="inlineStr">
        <is>
          <t>Explanation</t>
        </is>
      </c>
      <c r="Q1" s="11" t="inlineStr">
        <is>
          <t>Suggested Action</t>
        </is>
      </c>
    </row>
    <row r="2">
      <c r="A2" s="4" t="inlineStr">
        <is>
          <t>BRK-20261007-0033</t>
        </is>
      </c>
      <c r="B2" s="4" t="inlineStr">
        <is>
          <t>MARGIN</t>
        </is>
      </c>
      <c r="C2" s="4" t="inlineStr">
        <is>
          <t>MARGIN_MISSING_IN_INTERNAL</t>
        </is>
      </c>
      <c r="D2" s="4" t="inlineStr">
        <is>
          <t>Treasury</t>
        </is>
      </c>
      <c r="E2" s="4" t="inlineStr">
        <is>
          <t>FUND_GAMMA</t>
        </is>
      </c>
      <c r="F2" s="4" t="n"/>
      <c r="G2" s="4" t="inlineStr">
        <is>
          <t>MRG9001</t>
        </is>
      </c>
      <c r="H2" s="4" t="inlineStr">
        <is>
          <t>(missing)</t>
        </is>
      </c>
      <c r="I2" s="7" t="n">
        <v>120000</v>
      </c>
      <c r="J2" s="4" t="n"/>
      <c r="K2" s="7" t="n">
        <v>120000</v>
      </c>
      <c r="L2" s="12" t="n">
        <v>46302</v>
      </c>
      <c r="M2" s="4" t="n">
        <v>0</v>
      </c>
      <c r="N2" s="4" t="inlineStr">
        <is>
          <t>0-1d</t>
        </is>
      </c>
      <c r="O2" s="4" t="inlineStr">
        <is>
          <t>MEDIUM</t>
        </is>
      </c>
      <c r="P2" s="13" t="inlineStr">
        <is>
          <t>Margin movement with Harbor Prime not booked on the platform.</t>
        </is>
      </c>
      <c r="Q2" s="13" t="inlineStr">
        <is>
          <t>Confirm margin call received; book the movement if valid.</t>
        </is>
      </c>
    </row>
    <row r="3">
      <c r="A3" s="4" t="inlineStr">
        <is>
          <t>BRK-20261007-0038</t>
        </is>
      </c>
      <c r="B3" s="4" t="inlineStr">
        <is>
          <t>MARGIN</t>
        </is>
      </c>
      <c r="C3" s="4" t="inlineStr">
        <is>
          <t>MARGIN_MISSING_IN_CUSTODIAN</t>
        </is>
      </c>
      <c r="D3" s="4" t="inlineStr">
        <is>
          <t>Treasury</t>
        </is>
      </c>
      <c r="E3" s="4" t="inlineStr">
        <is>
          <t>FUND_GAMMA</t>
        </is>
      </c>
      <c r="F3" s="4" t="n"/>
      <c r="G3" s="4" t="inlineStr">
        <is>
          <t>MRG1000</t>
        </is>
      </c>
      <c r="H3" s="7" t="n">
        <v>77441.81</v>
      </c>
      <c r="I3" s="4" t="inlineStr">
        <is>
          <t>(missing)</t>
        </is>
      </c>
      <c r="J3" s="4" t="n"/>
      <c r="K3" s="7" t="n">
        <v>77441.81</v>
      </c>
      <c r="L3" s="12" t="n">
        <v>46296</v>
      </c>
      <c r="M3" s="4" t="n">
        <v>4</v>
      </c>
      <c r="N3" s="4" t="inlineStr">
        <is>
          <t>2-5d</t>
        </is>
      </c>
      <c r="O3" s="4" t="inlineStr">
        <is>
          <t>MEDIUM</t>
        </is>
      </c>
      <c r="P3" s="13" t="inlineStr">
        <is>
          <t>Margin movement with Atlas Markets not found at the custodian.</t>
        </is>
      </c>
      <c r="Q3" s="13" t="inlineStr">
        <is>
          <t>Confirm margin call with counterparty; check whether the movement was sent or settled.</t>
        </is>
      </c>
    </row>
    <row r="4">
      <c r="A4" s="4" t="inlineStr">
        <is>
          <t>BRK-20261007-0054</t>
        </is>
      </c>
      <c r="B4" s="4" t="inlineStr">
        <is>
          <t>MARGIN</t>
        </is>
      </c>
      <c r="C4" s="4" t="inlineStr">
        <is>
          <t>MARGIN_AMOUNT_MISMATCH</t>
        </is>
      </c>
      <c r="D4" s="4" t="inlineStr">
        <is>
          <t>Treasury</t>
        </is>
      </c>
      <c r="E4" s="4" t="inlineStr">
        <is>
          <t>FUND_BETA</t>
        </is>
      </c>
      <c r="F4" s="4" t="n"/>
      <c r="G4" s="4" t="inlineStr">
        <is>
          <t>MRG1001</t>
        </is>
      </c>
      <c r="H4" s="7" t="n">
        <v>710651.02</v>
      </c>
      <c r="I4" s="7" t="n">
        <v>728417.3</v>
      </c>
      <c r="J4" s="7" t="n">
        <v>-17766.28</v>
      </c>
      <c r="K4" s="7" t="n">
        <v>17766.28000000003</v>
      </c>
      <c r="L4" s="12" t="n">
        <v>46301</v>
      </c>
      <c r="M4" s="4" t="n">
        <v>1</v>
      </c>
      <c r="N4" s="4" t="inlineStr">
        <is>
          <t>0-1d</t>
        </is>
      </c>
      <c r="O4" s="4" t="inlineStr">
        <is>
          <t>LOW</t>
        </is>
      </c>
      <c r="P4" s="13" t="inlineStr">
        <is>
          <t>Amounts differ by 17,766.28 (tolerance 1.00).</t>
        </is>
      </c>
      <c r="Q4" s="13" t="inlineStr">
        <is>
          <t>Compare call statements; agree the exposure and rebook the correct amount.</t>
        </is>
      </c>
    </row>
  </sheetData>
  <autoFilter ref="A1:Q4"/>
  <conditionalFormatting sqref="O2:O4">
    <cfRule type="cellIs" priority="1" operator="equal" dxfId="1">
      <formula>"HIGH"</formula>
    </cfRule>
    <cfRule type="cellIs" priority="2" operator="equal" dxfId="2">
      <formula>"MEDIUM"</formula>
    </cfRule>
    <cfRule type="cellIs" priority="3" operator="equal" dxfId="3">
      <formula>"LOW"</formula>
    </cfRule>
  </conditionalFormatting>
  <conditionalFormatting sqref="M2:M4">
    <cfRule type="cellIs" priority="4" operator="greaterThan" dxfId="4">
      <formula>5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36" customWidth="1" min="3" max="3"/>
    <col width="28" customWidth="1" min="4" max="4"/>
    <col width="13" customWidth="1" min="5" max="5"/>
    <col width="12" customWidth="1" min="6" max="6"/>
    <col width="24" customWidth="1" min="7" max="7"/>
    <col width="22" customWidth="1" min="8" max="8"/>
    <col width="22" customWidth="1" min="9" max="9"/>
    <col width="14" customWidth="1" min="10" max="10"/>
    <col width="16" customWidth="1" min="11" max="11"/>
    <col width="14" customWidth="1" min="12" max="12"/>
    <col width="9" customWidth="1" min="13" max="13"/>
    <col width="11" customWidth="1" min="14" max="14"/>
    <col width="10" customWidth="1" min="15" max="15"/>
    <col width="70" customWidth="1" min="16" max="16"/>
    <col width="70" customWidth="1" min="17" max="17"/>
  </cols>
  <sheetData>
    <row r="1" ht="30" customHeight="1">
      <c r="A1" s="11" t="inlineStr">
        <is>
          <t>Break Id</t>
        </is>
      </c>
      <c r="B1" s="11" t="inlineStr">
        <is>
          <t>Category</t>
        </is>
      </c>
      <c r="C1" s="11" t="inlineStr">
        <is>
          <t>Break Type</t>
        </is>
      </c>
      <c r="D1" s="11" t="inlineStr">
        <is>
          <t>Owner Team</t>
        </is>
      </c>
      <c r="E1" s="11" t="inlineStr">
        <is>
          <t>Account</t>
        </is>
      </c>
      <c r="F1" s="11" t="inlineStr">
        <is>
          <t>Security Id</t>
        </is>
      </c>
      <c r="G1" s="11" t="inlineStr">
        <is>
          <t>Reference</t>
        </is>
      </c>
      <c r="H1" s="11" t="inlineStr">
        <is>
          <t>Internal Value</t>
        </is>
      </c>
      <c r="I1" s="11" t="inlineStr">
        <is>
          <t>Custodian Value</t>
        </is>
      </c>
      <c r="J1" s="11" t="inlineStr">
        <is>
          <t>Difference</t>
        </is>
      </c>
      <c r="K1" s="11" t="inlineStr">
        <is>
          <t>Notional Usd</t>
        </is>
      </c>
      <c r="L1" s="11" t="inlineStr">
        <is>
          <t>Reference Date</t>
        </is>
      </c>
      <c r="M1" s="11" t="inlineStr">
        <is>
          <t>Age Days</t>
        </is>
      </c>
      <c r="N1" s="11" t="inlineStr">
        <is>
          <t>Age Bucket</t>
        </is>
      </c>
      <c r="O1" s="11" t="inlineStr">
        <is>
          <t>Severity</t>
        </is>
      </c>
      <c r="P1" s="11" t="inlineStr">
        <is>
          <t>Explanation</t>
        </is>
      </c>
      <c r="Q1" s="11" t="inlineStr">
        <is>
          <t>Suggested Action</t>
        </is>
      </c>
    </row>
    <row r="2">
      <c r="A2" s="4" t="inlineStr">
        <is>
          <t>BRK-20261007-0027</t>
        </is>
      </c>
      <c r="B2" s="4" t="inlineStr">
        <is>
          <t>PRICING</t>
        </is>
      </c>
      <c r="C2" s="4" t="inlineStr">
        <is>
          <t>PRICING_VARIANCE</t>
        </is>
      </c>
      <c r="D2" s="4" t="inlineStr">
        <is>
          <t>Pricing</t>
        </is>
      </c>
      <c r="E2" s="4" t="n"/>
      <c r="F2" s="4" t="inlineStr">
        <is>
          <t>SEC021</t>
        </is>
      </c>
      <c r="G2" s="4" t="inlineStr">
        <is>
          <t>SEC021</t>
        </is>
      </c>
      <c r="H2" s="7" t="n">
        <v>97.19580000000001</v>
      </c>
      <c r="I2" s="7" t="n">
        <v>95.4449</v>
      </c>
      <c r="J2" s="7" t="n">
        <v>1.7509</v>
      </c>
      <c r="K2" s="7" t="n">
        <v>226216.2800000002</v>
      </c>
      <c r="L2" s="12" t="n">
        <v>46302</v>
      </c>
      <c r="M2" s="4" t="n">
        <v>0</v>
      </c>
      <c r="N2" s="4" t="inlineStr">
        <is>
          <t>0-1d</t>
        </is>
      </c>
      <c r="O2" s="4" t="inlineStr">
        <is>
          <t>MEDIUM</t>
        </is>
      </c>
      <c r="P2" s="13" t="inlineStr">
        <is>
          <t>Platform vs street differs by +183.4 bps (tolerance 25 bps, FIXED_INCOME).</t>
        </is>
      </c>
      <c r="Q2" s="13" t="inlineStr">
        <is>
          <t>Compare vendor and street source; challenge or override with documented support.</t>
        </is>
      </c>
    </row>
    <row r="3">
      <c r="A3" s="4" t="inlineStr">
        <is>
          <t>BRK-20261007-0028</t>
        </is>
      </c>
      <c r="B3" s="4" t="inlineStr">
        <is>
          <t>PRICING</t>
        </is>
      </c>
      <c r="C3" s="4" t="inlineStr">
        <is>
          <t>PRICING_VARIANCE</t>
        </is>
      </c>
      <c r="D3" s="4" t="inlineStr">
        <is>
          <t>Pricing</t>
        </is>
      </c>
      <c r="E3" s="4" t="n"/>
      <c r="F3" s="4" t="inlineStr">
        <is>
          <t>SEC002</t>
        </is>
      </c>
      <c r="G3" s="4" t="inlineStr">
        <is>
          <t>SEC002</t>
        </is>
      </c>
      <c r="H3" s="7" t="n">
        <v>346.8085</v>
      </c>
      <c r="I3" s="7" t="n">
        <v>351.109</v>
      </c>
      <c r="J3" s="7" t="n">
        <v>-4.3005</v>
      </c>
      <c r="K3" s="7" t="n">
        <v>218035.35</v>
      </c>
      <c r="L3" s="12" t="n">
        <v>46302</v>
      </c>
      <c r="M3" s="4" t="n">
        <v>0</v>
      </c>
      <c r="N3" s="4" t="inlineStr">
        <is>
          <t>0-1d</t>
        </is>
      </c>
      <c r="O3" s="4" t="inlineStr">
        <is>
          <t>MEDIUM</t>
        </is>
      </c>
      <c r="P3" s="13" t="inlineStr">
        <is>
          <t>Platform vs street differs by -122.5 bps (tolerance 10 bps, EQUITY).</t>
        </is>
      </c>
      <c r="Q3" s="13" t="inlineStr">
        <is>
          <t>Compare vendor and street source; challenge or override with documented support.</t>
        </is>
      </c>
    </row>
    <row r="4">
      <c r="A4" s="4" t="inlineStr">
        <is>
          <t>BRK-20261007-0031</t>
        </is>
      </c>
      <c r="B4" s="4" t="inlineStr">
        <is>
          <t>PRICING</t>
        </is>
      </c>
      <c r="C4" s="4" t="inlineStr">
        <is>
          <t>PRICING_STALE</t>
        </is>
      </c>
      <c r="D4" s="4" t="inlineStr">
        <is>
          <t>Pricing</t>
        </is>
      </c>
      <c r="E4" s="4" t="n"/>
      <c r="F4" s="4" t="inlineStr">
        <is>
          <t>SEC016</t>
        </is>
      </c>
      <c r="G4" s="4" t="inlineStr">
        <is>
          <t>SEC016</t>
        </is>
      </c>
      <c r="H4" s="7" t="n">
        <v>80.8847</v>
      </c>
      <c r="I4" s="7" t="n">
        <v>82.3837</v>
      </c>
      <c r="J4" s="7" t="n">
        <v>-1.499</v>
      </c>
      <c r="K4" s="7" t="n">
        <v>131912.0000000008</v>
      </c>
      <c r="L4" s="12" t="n">
        <v>46302</v>
      </c>
      <c r="M4" s="4" t="n">
        <v>0</v>
      </c>
      <c r="N4" s="4" t="inlineStr">
        <is>
          <t>0-1d</t>
        </is>
      </c>
      <c r="O4" s="4" t="inlineStr">
        <is>
          <t>MEDIUM</t>
        </is>
      </c>
      <c r="P4" s="13" t="inlineStr">
        <is>
          <t>Platform price equals prior-day price; street moved 185 bps.</t>
        </is>
      </c>
      <c r="Q4" s="13" t="inlineStr">
        <is>
          <t>Price not refreshed since prior day; re-pull the price feed and revalue.</t>
        </is>
      </c>
    </row>
    <row r="5">
      <c r="A5" s="4" t="inlineStr">
        <is>
          <t>BRK-20261007-0056</t>
        </is>
      </c>
      <c r="B5" s="4" t="inlineStr">
        <is>
          <t>PRICING</t>
        </is>
      </c>
      <c r="C5" s="4" t="inlineStr">
        <is>
          <t>PRICING_STALE</t>
        </is>
      </c>
      <c r="D5" s="4" t="inlineStr">
        <is>
          <t>Pricing</t>
        </is>
      </c>
      <c r="E5" s="4" t="n"/>
      <c r="F5" s="4" t="inlineStr">
        <is>
          <t>SEC007</t>
        </is>
      </c>
      <c r="G5" s="4" t="inlineStr">
        <is>
          <t>SEC007</t>
        </is>
      </c>
      <c r="H5" s="7" t="n">
        <v>142.3329</v>
      </c>
      <c r="I5" s="7" t="n">
        <v>145.8706</v>
      </c>
      <c r="J5" s="7" t="n">
        <v>-3.5377</v>
      </c>
      <c r="K5" s="7" t="n">
        <v>10613.1</v>
      </c>
      <c r="L5" s="12" t="n">
        <v>46302</v>
      </c>
      <c r="M5" s="4" t="n">
        <v>0</v>
      </c>
      <c r="N5" s="4" t="inlineStr">
        <is>
          <t>0-1d</t>
        </is>
      </c>
      <c r="O5" s="4" t="inlineStr">
        <is>
          <t>LOW</t>
        </is>
      </c>
      <c r="P5" s="13" t="inlineStr">
        <is>
          <t>Platform price equals prior-day price; street moved 249 bps.</t>
        </is>
      </c>
      <c r="Q5" s="13" t="inlineStr">
        <is>
          <t>Price not refreshed since prior day; re-pull the price feed and revalue.</t>
        </is>
      </c>
    </row>
    <row r="6">
      <c r="A6" s="4" t="inlineStr">
        <is>
          <t>BRK-20261007-0059</t>
        </is>
      </c>
      <c r="B6" s="4" t="inlineStr">
        <is>
          <t>PRICING</t>
        </is>
      </c>
      <c r="C6" s="4" t="inlineStr">
        <is>
          <t>PRICING_VARIANCE</t>
        </is>
      </c>
      <c r="D6" s="4" t="inlineStr">
        <is>
          <t>Pricing</t>
        </is>
      </c>
      <c r="E6" s="4" t="n"/>
      <c r="F6" s="4" t="inlineStr">
        <is>
          <t>SEC001</t>
        </is>
      </c>
      <c r="G6" s="4" t="inlineStr">
        <is>
          <t>SEC001</t>
        </is>
      </c>
      <c r="H6" s="7" t="n">
        <v>208.7611</v>
      </c>
      <c r="I6" s="7" t="n">
        <v>212.9534</v>
      </c>
      <c r="J6" s="7" t="n">
        <v>-4.1923</v>
      </c>
      <c r="K6" s="7" t="n">
        <v>7965.369999999979</v>
      </c>
      <c r="L6" s="12" t="n">
        <v>46302</v>
      </c>
      <c r="M6" s="4" t="n">
        <v>0</v>
      </c>
      <c r="N6" s="4" t="inlineStr">
        <is>
          <t>0-1d</t>
        </is>
      </c>
      <c r="O6" s="4" t="inlineStr">
        <is>
          <t>LOW</t>
        </is>
      </c>
      <c r="P6" s="13" t="inlineStr">
        <is>
          <t>Platform vs street differs by -196.9 bps (tolerance 10 bps, EQUITY).</t>
        </is>
      </c>
      <c r="Q6" s="13" t="inlineStr">
        <is>
          <t>Compare vendor and street source; challenge or override with documented support.</t>
        </is>
      </c>
    </row>
  </sheetData>
  <autoFilter ref="A1:Q6"/>
  <conditionalFormatting sqref="O2:O6">
    <cfRule type="cellIs" priority="1" operator="equal" dxfId="1">
      <formula>"HIGH"</formula>
    </cfRule>
    <cfRule type="cellIs" priority="2" operator="equal" dxfId="2">
      <formula>"MEDIUM"</formula>
    </cfRule>
    <cfRule type="cellIs" priority="3" operator="equal" dxfId="3">
      <formula>"LOW"</formula>
    </cfRule>
  </conditionalFormatting>
  <conditionalFormatting sqref="M2:M6">
    <cfRule type="cellIs" priority="4" operator="greaterThan" dxfId="4">
      <formula>5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Tolerances and thresholds</t>
        </is>
      </c>
    </row>
    <row r="2">
      <c r="A2" s="2" t="inlineStr">
        <is>
          <t>Defined in config.py; shown here so every break is auditable</t>
        </is>
      </c>
    </row>
    <row r="4">
      <c r="A4" s="3" t="inlineStr">
        <is>
          <t>Rule</t>
        </is>
      </c>
      <c r="B4" s="3" t="inlineStr">
        <is>
          <t>Value</t>
        </is>
      </c>
    </row>
    <row r="5">
      <c r="A5" s="4" t="inlineStr">
        <is>
          <t>Trade price tolerance (bps)</t>
        </is>
      </c>
      <c r="B5" s="4" t="n">
        <v>1</v>
      </c>
    </row>
    <row r="6">
      <c r="A6" s="4" t="inlineStr">
        <is>
          <t>Position quantity tolerance</t>
        </is>
      </c>
      <c r="B6" s="4" t="n">
        <v>0</v>
      </c>
    </row>
    <row r="7">
      <c r="A7" s="4" t="inlineStr">
        <is>
          <t>Cash tolerance (USD)</t>
        </is>
      </c>
      <c r="B7" s="4" t="n">
        <v>1</v>
      </c>
    </row>
    <row r="8">
      <c r="A8" s="4" t="inlineStr">
        <is>
          <t>Margin tolerance (USD)</t>
        </is>
      </c>
      <c r="B8" s="4" t="n">
        <v>1</v>
      </c>
    </row>
    <row r="9">
      <c r="A9" s="4" t="inlineStr">
        <is>
          <t>Pricing tolerance, EQUITY (bps)</t>
        </is>
      </c>
      <c r="B9" s="4" t="n">
        <v>10</v>
      </c>
    </row>
    <row r="10">
      <c r="A10" s="4" t="inlineStr">
        <is>
          <t>Pricing tolerance, ETF (bps)</t>
        </is>
      </c>
      <c r="B10" s="4" t="n">
        <v>5</v>
      </c>
    </row>
    <row r="11">
      <c r="A11" s="4" t="inlineStr">
        <is>
          <t>Pricing tolerance, FIXED_INCOME (bps)</t>
        </is>
      </c>
      <c r="B11" s="4" t="n">
        <v>25</v>
      </c>
    </row>
    <row r="12">
      <c r="A12" s="4" t="inlineStr">
        <is>
          <t>HIGH severity at notional &gt;=</t>
        </is>
      </c>
      <c r="B12" s="4" t="n">
        <v>500000</v>
      </c>
    </row>
    <row r="13">
      <c r="A13" s="4" t="inlineStr">
        <is>
          <t>MEDIUM severity at notional &gt;=</t>
        </is>
      </c>
      <c r="B13" s="4" t="n">
        <v>50000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2026-10-07T11:52:59Z</dcterms:created>
  <dcterms:modified xmlns:dcterms="http://purl.org/dc/terms/" xmlns:xsi="http://www.w3.org/2001/XMLSchema-instance" xsi:type="dcterms:W3CDTF">2026-10-07T11:52:59Z</dcterms:modified>
</cp:coreProperties>
</file>